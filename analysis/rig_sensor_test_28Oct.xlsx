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om light" sheetId="2" state="visible" r:id="rId4"/>
    <sheet name="Cover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<sst xmlns="http://schemas.openxmlformats.org/spreadsheetml/2006/main" count="57" uniqueCount="34">
  <si>
    <t xml:space="preserve">Interferometer rig: first sensor test (28 Oct 2026)</t>
  </si>
  <si>
    <t xml:space="preserve">Inputs</t>
  </si>
  <si>
    <t xml:space="preserve">Counts per g (ADXL345)</t>
  </si>
  <si>
    <t xml:space="preserve">ADXL345 full-resolution nominal sensitivity, 3.9 mg/LSB (Analog Devices datasheet). Real boards vary by about 10%.</t>
  </si>
  <si>
    <t xml:space="preserve">Sample interval (s)</t>
  </si>
  <si>
    <t xml:space="preserve">From delay(50) in rig_plot.ino. Approximate: actual spacing is slightly longer because of read time.</t>
  </si>
  <si>
    <t xml:space="preserve">Run statistics</t>
  </si>
  <si>
    <t xml:space="preserve">Channel</t>
  </si>
  <si>
    <t xml:space="preserve">Room light mean</t>
  </si>
  <si>
    <t xml:space="preserve">Room light std dev</t>
  </si>
  <si>
    <t xml:space="preserve">Covered mean</t>
  </si>
  <si>
    <t xml:space="preserve">Covered std dev</t>
  </si>
  <si>
    <t xml:space="preserve">floorX</t>
  </si>
  <si>
    <t xml:space="preserve">floorY</t>
  </si>
  <si>
    <t xml:space="preserve">floorZ</t>
  </si>
  <si>
    <t xml:space="preserve">plateX</t>
  </si>
  <si>
    <t xml:space="preserve">plateY</t>
  </si>
  <si>
    <t xml:space="preserve">plateZ</t>
  </si>
  <si>
    <t xml:space="preserve">fringe (A0)</t>
  </si>
  <si>
    <t xml:space="preserve">reference (A1)</t>
  </si>
  <si>
    <t xml:space="preserve">floor |a| (g)</t>
  </si>
  <si>
    <t xml:space="preserve">plate |a| (g)</t>
  </si>
  <si>
    <t xml:space="preserve">Notes</t>
  </si>
  <si>
    <t xml:space="preserve">- Both sensors standing on edge on the desk, untouched, during both runs.</t>
  </si>
  <si>
    <t xml:space="preserve">- Std dev of 1 to 2 counts on each axis is the ADXL345 noise floor at rest.</t>
  </si>
  <si>
    <t xml:space="preserve">- Total acceleration near 1 g on both sensors confirms they read gravity correctly.</t>
  </si>
  <si>
    <t xml:space="preserve">- Covered run: photodiodes read 0 to 1, so there is no dark offset.</t>
  </si>
  <si>
    <t xml:space="preserve">- Torch test was done but not recorded. Record it next time for the full response check.</t>
  </si>
  <si>
    <t xml:space="preserve">- Each run is under 2 s at about 20 samples/s. Too slow and short for vibration analysis; a faster logger is needed for that.</t>
  </si>
  <si>
    <t xml:space="preserve">Room light run, raw counts</t>
  </si>
  <si>
    <t xml:space="preserve">Source: Serial Monitor output pasted by Alex, rig_plot.ino. Blue = recorded data, black = formulas.</t>
  </si>
  <si>
    <t xml:space="preserve">Sample</t>
  </si>
  <si>
    <t xml:space="preserve">Time (s)</t>
  </si>
  <si>
    <t xml:space="preserve">Covered run, raw counts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</si>
</sst>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Accelerometer axes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'Room light'!C4</c:f>
              <c:strCache>
                <c:ptCount val="1"/>
                <c:pt idx="0">
                  <c:v>floorX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light'!$C$5:$C$20</c:f>
              <c:numCache>
                <c:formatCode>General</c:formatCode>
                <c:ptCount val="16"/>
                <c:pt idx="0">
                  <c:v>-77</c:v>
                </c:pt>
                <c:pt idx="1">
                  <c:v>-78</c:v>
                </c:pt>
                <c:pt idx="2">
                  <c:v>-78</c:v>
                </c:pt>
                <c:pt idx="3">
                  <c:v>-78</c:v>
                </c:pt>
                <c:pt idx="4">
                  <c:v>-78</c:v>
                </c:pt>
                <c:pt idx="5">
                  <c:v>-79</c:v>
                </c:pt>
                <c:pt idx="6">
                  <c:v>-78</c:v>
                </c:pt>
                <c:pt idx="7">
                  <c:v>-78</c:v>
                </c:pt>
                <c:pt idx="8">
                  <c:v>-78</c:v>
                </c:pt>
                <c:pt idx="9">
                  <c:v>-78</c:v>
                </c:pt>
                <c:pt idx="10">
                  <c:v>-77</c:v>
                </c:pt>
                <c:pt idx="11">
                  <c:v>-77</c:v>
                </c:pt>
                <c:pt idx="12">
                  <c:v>-77</c:v>
                </c:pt>
                <c:pt idx="13">
                  <c:v>-78</c:v>
                </c:pt>
                <c:pt idx="14">
                  <c:v>-79</c:v>
                </c:pt>
                <c:pt idx="15">
                  <c:v>-78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'Room light'!D4</c:f>
              <c:strCache>
                <c:ptCount val="1"/>
                <c:pt idx="0">
                  <c:v>floorY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light'!$D$5:$D$20</c:f>
              <c:numCache>
                <c:formatCode>General</c:formatCode>
                <c:ptCount val="16"/>
                <c:pt idx="0">
                  <c:v>204</c:v>
                </c:pt>
                <c:pt idx="1">
                  <c:v>203</c:v>
                </c:pt>
                <c:pt idx="2">
                  <c:v>203</c:v>
                </c:pt>
                <c:pt idx="3">
                  <c:v>203</c:v>
                </c:pt>
                <c:pt idx="4">
                  <c:v>204</c:v>
                </c:pt>
                <c:pt idx="5">
                  <c:v>204</c:v>
                </c:pt>
                <c:pt idx="6">
                  <c:v>203</c:v>
                </c:pt>
                <c:pt idx="7">
                  <c:v>204</c:v>
                </c:pt>
                <c:pt idx="8">
                  <c:v>203</c:v>
                </c:pt>
                <c:pt idx="9">
                  <c:v>204</c:v>
                </c:pt>
                <c:pt idx="10">
                  <c:v>202</c:v>
                </c:pt>
                <c:pt idx="11">
                  <c:v>203</c:v>
                </c:pt>
                <c:pt idx="12">
                  <c:v>203</c:v>
                </c:pt>
                <c:pt idx="13">
                  <c:v>204</c:v>
                </c:pt>
                <c:pt idx="14">
                  <c:v>202</c:v>
                </c:pt>
                <c:pt idx="15">
                  <c:v>203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'Room light'!E4</c:f>
              <c:strCache>
                <c:ptCount val="1"/>
                <c:pt idx="0">
                  <c:v>floorZ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light'!$E$5:$E$20</c:f>
              <c:numCache>
                <c:formatCode>General</c:formatCode>
                <c:ptCount val="16"/>
                <c:pt idx="0">
                  <c:v>-83</c:v>
                </c:pt>
                <c:pt idx="1">
                  <c:v>-85</c:v>
                </c:pt>
                <c:pt idx="2">
                  <c:v>-81</c:v>
                </c:pt>
                <c:pt idx="3">
                  <c:v>-82</c:v>
                </c:pt>
                <c:pt idx="4">
                  <c:v>-83</c:v>
                </c:pt>
                <c:pt idx="5">
                  <c:v>-81</c:v>
                </c:pt>
                <c:pt idx="6">
                  <c:v>-82</c:v>
                </c:pt>
                <c:pt idx="7">
                  <c:v>-82</c:v>
                </c:pt>
                <c:pt idx="8">
                  <c:v>-84</c:v>
                </c:pt>
                <c:pt idx="9">
                  <c:v>-84</c:v>
                </c:pt>
                <c:pt idx="10">
                  <c:v>-84</c:v>
                </c:pt>
                <c:pt idx="11">
                  <c:v>-84</c:v>
                </c:pt>
                <c:pt idx="12">
                  <c:v>-84</c:v>
                </c:pt>
                <c:pt idx="13">
                  <c:v>-83</c:v>
                </c:pt>
                <c:pt idx="14">
                  <c:v>-83</c:v>
                </c:pt>
                <c:pt idx="15">
                  <c:v>-83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'Room light'!F4</c:f>
              <c:strCache>
                <c:ptCount val="1"/>
                <c:pt idx="0">
                  <c:v>plateX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light'!$F$5:$F$20</c:f>
              <c:numCache>
                <c:formatCode>General</c:formatCode>
                <c:ptCount val="16"/>
                <c:pt idx="0">
                  <c:v>-226</c:v>
                </c:pt>
                <c:pt idx="1">
                  <c:v>-227</c:v>
                </c:pt>
                <c:pt idx="2">
                  <c:v>-226</c:v>
                </c:pt>
                <c:pt idx="3">
                  <c:v>-226</c:v>
                </c:pt>
                <c:pt idx="4">
                  <c:v>-226</c:v>
                </c:pt>
                <c:pt idx="5">
                  <c:v>-227</c:v>
                </c:pt>
                <c:pt idx="6">
                  <c:v>-227</c:v>
                </c:pt>
                <c:pt idx="7">
                  <c:v>-226</c:v>
                </c:pt>
                <c:pt idx="8">
                  <c:v>-226</c:v>
                </c:pt>
                <c:pt idx="9">
                  <c:v>-226</c:v>
                </c:pt>
                <c:pt idx="10">
                  <c:v>-228</c:v>
                </c:pt>
                <c:pt idx="11">
                  <c:v>-225</c:v>
                </c:pt>
                <c:pt idx="12">
                  <c:v>-226</c:v>
                </c:pt>
                <c:pt idx="13">
                  <c:v>-226</c:v>
                </c:pt>
                <c:pt idx="14">
                  <c:v>-226</c:v>
                </c:pt>
                <c:pt idx="15">
                  <c:v>-227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'Room light'!G4</c:f>
              <c:strCache>
                <c:ptCount val="1"/>
                <c:pt idx="0">
                  <c:v>plateY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light'!$G$5:$G$20</c:f>
              <c:numCache>
                <c:formatCode>General</c:formatCode>
                <c:ptCount val="1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35</c:v>
                </c:pt>
                <c:pt idx="10">
                  <c:v>36</c:v>
                </c:pt>
                <c:pt idx="11">
                  <c:v>35</c:v>
                </c:pt>
                <c:pt idx="12">
                  <c:v>35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'Room light'!H4</c:f>
              <c:strCache>
                <c:ptCount val="1"/>
                <c:pt idx="0">
                  <c:v>plateZ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light'!$H$5:$H$20</c:f>
              <c:numCache>
                <c:formatCode>General</c:formatCode>
                <c:ptCount val="16"/>
                <c:pt idx="0">
                  <c:v>-145</c:v>
                </c:pt>
                <c:pt idx="1">
                  <c:v>-146</c:v>
                </c:pt>
                <c:pt idx="2">
                  <c:v>-145</c:v>
                </c:pt>
                <c:pt idx="3">
                  <c:v>-145</c:v>
                </c:pt>
                <c:pt idx="4">
                  <c:v>-146</c:v>
                </c:pt>
                <c:pt idx="5">
                  <c:v>-146</c:v>
                </c:pt>
                <c:pt idx="6">
                  <c:v>-147</c:v>
                </c:pt>
                <c:pt idx="7">
                  <c:v>-145</c:v>
                </c:pt>
                <c:pt idx="8">
                  <c:v>-146</c:v>
                </c:pt>
                <c:pt idx="9">
                  <c:v>-146</c:v>
                </c:pt>
                <c:pt idx="10">
                  <c:v>-147</c:v>
                </c:pt>
                <c:pt idx="11">
                  <c:v>-145</c:v>
                </c:pt>
                <c:pt idx="12">
                  <c:v>-145</c:v>
                </c:pt>
                <c:pt idx="13">
                  <c:v>-145</c:v>
                </c:pt>
                <c:pt idx="14">
                  <c:v>-147</c:v>
                </c:pt>
                <c:pt idx="15">
                  <c:v>-146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752274"/>
        <c:axId val="86992942"/>
      </c:lineChart>
      <c:catAx>
        <c:axId val="687522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92942"/>
        <c:crosses val="autoZero"/>
        <c:auto val="1"/>
        <c:lblAlgn val="ctr"/>
        <c:lblOffset val="100"/>
        <c:noMultiLvlLbl val="0"/>
      </c:catAx>
      <c:valAx>
        <c:axId val="86992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Counts (256 = 1 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522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acceleration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'Room light'!K4</c:f>
              <c:strCache>
                <c:ptCount val="1"/>
                <c:pt idx="0">
                  <c:v>floor |a| (g)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light'!$K$5:$K$20</c:f>
              <c:numCache>
                <c:formatCode>0.000</c:formatCode>
                <c:ptCount val="16"/>
                <c:pt idx="0">
                  <c:v>0.911370903544833</c:v>
                </c:pt>
                <c:pt idx="1">
                  <c:v>0.912073824922838</c:v>
                </c:pt>
                <c:pt idx="2">
                  <c:v>0.906502524084669</c:v>
                </c:pt>
                <c:pt idx="3">
                  <c:v>0.907873344023858</c:v>
                </c:pt>
                <c:pt idx="4">
                  <c:v>0.912667538664991</c:v>
                </c:pt>
                <c:pt idx="5">
                  <c:v>0.911236952281417</c:v>
                </c:pt>
                <c:pt idx="6">
                  <c:v>0.907873344023858</c:v>
                </c:pt>
                <c:pt idx="7">
                  <c:v>0.911287186312581</c:v>
                </c:pt>
                <c:pt idx="8">
                  <c:v>0.910659061755722</c:v>
                </c:pt>
                <c:pt idx="9">
                  <c:v>0.9140625</c:v>
                </c:pt>
                <c:pt idx="10">
                  <c:v>0.905955299605236</c:v>
                </c:pt>
                <c:pt idx="11">
                  <c:v>0.909359562798525</c:v>
                </c:pt>
                <c:pt idx="12">
                  <c:v>0.909359562798525</c:v>
                </c:pt>
                <c:pt idx="13">
                  <c:v>0.912667538664991</c:v>
                </c:pt>
                <c:pt idx="14">
                  <c:v>0.907175577987456</c:v>
                </c:pt>
                <c:pt idx="15">
                  <c:v>0.909258878969227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'Room light'!L4</c:f>
              <c:strCache>
                <c:ptCount val="1"/>
                <c:pt idx="0">
                  <c:v>plate |a| (g)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light'!$L$5:$L$20</c:f>
              <c:numCache>
                <c:formatCode>0.000</c:formatCode>
                <c:ptCount val="16"/>
                <c:pt idx="0">
                  <c:v>1.05827658994249</c:v>
                </c:pt>
                <c:pt idx="1">
                  <c:v>1.06362675778809</c:v>
                </c:pt>
                <c:pt idx="2">
                  <c:v>1.05827658994249</c:v>
                </c:pt>
                <c:pt idx="3">
                  <c:v>1.05827658994249</c:v>
                </c:pt>
                <c:pt idx="4">
                  <c:v>1.06037241025854</c:v>
                </c:pt>
                <c:pt idx="5">
                  <c:v>1.06362675778809</c:v>
                </c:pt>
                <c:pt idx="6">
                  <c:v>1.0657263743936</c:v>
                </c:pt>
                <c:pt idx="7">
                  <c:v>1.05827658994249</c:v>
                </c:pt>
                <c:pt idx="8">
                  <c:v>1.06037241025854</c:v>
                </c:pt>
                <c:pt idx="9">
                  <c:v>1.05986144113939</c:v>
                </c:pt>
                <c:pt idx="10">
                  <c:v>1.06897869674824</c:v>
                </c:pt>
                <c:pt idx="11">
                  <c:v>1.0545066395854</c:v>
                </c:pt>
                <c:pt idx="12">
                  <c:v>1.05776460840627</c:v>
                </c:pt>
                <c:pt idx="13">
                  <c:v>1.05827658994249</c:v>
                </c:pt>
                <c:pt idx="14">
                  <c:v>1.06196850217385</c:v>
                </c:pt>
                <c:pt idx="15">
                  <c:v>1.06362675778809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138303"/>
        <c:axId val="17002199"/>
      </c:lineChart>
      <c:catAx>
        <c:axId val="66138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02199"/>
        <c:crosses val="autoZero"/>
        <c:auto val="1"/>
        <c:lblAlgn val="ctr"/>
        <c:lblOffset val="100"/>
        <c:noMultiLvlLbl val="0"/>
      </c:catAx>
      <c:valAx>
        <c:axId val="17002199"/>
        <c:scaling>
          <c:orientation val="minMax"/>
          <c:max val="1.2"/>
          <c:min val="0.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38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Photodiodes in room light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'Room light'!I4</c:f>
              <c:strCache>
                <c:ptCount val="1"/>
                <c:pt idx="0">
                  <c:v>fringe (A0)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light'!$I$5:$I$20</c:f>
              <c:numCache>
                <c:formatCode>General</c:formatCode>
                <c:ptCount val="16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'Room light'!J4</c:f>
              <c:strCache>
                <c:ptCount val="1"/>
                <c:pt idx="0">
                  <c:v>reference (A1)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'Room light'!$B$5:$B$20</c:f>
              <c:strCache>
                <c:ptCount val="16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</c:strCache>
            </c:strRef>
          </c:cat>
          <c:val>
            <c:numRef>
              <c:f>'Room light'!$J$5:$J$20</c:f>
              <c:numCache>
                <c:formatCode>General</c:formatCode>
                <c:ptCount val="16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14</c:v>
                </c:pt>
                <c:pt idx="5">
                  <c:v>13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952533"/>
        <c:axId val="76130855"/>
      </c:lineChart>
      <c:catAx>
        <c:axId val="77952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30855"/>
        <c:crosses val="autoZero"/>
        <c:auto val="1"/>
        <c:lblAlgn val="ctr"/>
        <c:lblOffset val="100"/>
        <c:noMultiLvlLbl val="0"/>
      </c:catAx>
      <c:valAx>
        <c:axId val="76130855"/>
        <c:scaling>
          <c:orientation val="minMax"/>
          <c:max val="4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ADC counts (0 to 1023)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525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Accelerometer axes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Covered!C4</c:f>
              <c:strCache>
                <c:ptCount val="1"/>
                <c:pt idx="0">
                  <c:v>floorX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Covered!$C$5:$C$32</c:f>
              <c:numCache>
                <c:formatCode>General</c:formatCode>
                <c:ptCount val="28"/>
                <c:pt idx="0">
                  <c:v>-78</c:v>
                </c:pt>
                <c:pt idx="1">
                  <c:v>-78</c:v>
                </c:pt>
                <c:pt idx="2">
                  <c:v>-78</c:v>
                </c:pt>
                <c:pt idx="3">
                  <c:v>-78</c:v>
                </c:pt>
                <c:pt idx="4">
                  <c:v>-78</c:v>
                </c:pt>
                <c:pt idx="5">
                  <c:v>-77</c:v>
                </c:pt>
                <c:pt idx="6">
                  <c:v>-78</c:v>
                </c:pt>
                <c:pt idx="7">
                  <c:v>-78</c:v>
                </c:pt>
                <c:pt idx="8">
                  <c:v>-78</c:v>
                </c:pt>
                <c:pt idx="9">
                  <c:v>-78</c:v>
                </c:pt>
                <c:pt idx="10">
                  <c:v>-78</c:v>
                </c:pt>
                <c:pt idx="11">
                  <c:v>-78</c:v>
                </c:pt>
                <c:pt idx="12">
                  <c:v>-78</c:v>
                </c:pt>
                <c:pt idx="13">
                  <c:v>-79</c:v>
                </c:pt>
                <c:pt idx="14">
                  <c:v>-78</c:v>
                </c:pt>
                <c:pt idx="15">
                  <c:v>-79</c:v>
                </c:pt>
                <c:pt idx="16">
                  <c:v>-78</c:v>
                </c:pt>
                <c:pt idx="17">
                  <c:v>-77</c:v>
                </c:pt>
                <c:pt idx="18">
                  <c:v>-78</c:v>
                </c:pt>
                <c:pt idx="19">
                  <c:v>-78</c:v>
                </c:pt>
                <c:pt idx="20">
                  <c:v>-78</c:v>
                </c:pt>
                <c:pt idx="21">
                  <c:v>-78</c:v>
                </c:pt>
                <c:pt idx="22">
                  <c:v>-78</c:v>
                </c:pt>
                <c:pt idx="23">
                  <c:v>-77</c:v>
                </c:pt>
                <c:pt idx="24">
                  <c:v>-78</c:v>
                </c:pt>
                <c:pt idx="25">
                  <c:v>-78</c:v>
                </c:pt>
                <c:pt idx="26">
                  <c:v>-78</c:v>
                </c:pt>
                <c:pt idx="27">
                  <c:v>-79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Covered!D4</c:f>
              <c:strCache>
                <c:ptCount val="1"/>
                <c:pt idx="0">
                  <c:v>floorY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Covered!$D$5:$D$32</c:f>
              <c:numCache>
                <c:formatCode>General</c:formatCode>
                <c:ptCount val="28"/>
                <c:pt idx="0">
                  <c:v>202</c:v>
                </c:pt>
                <c:pt idx="1">
                  <c:v>202</c:v>
                </c:pt>
                <c:pt idx="2">
                  <c:v>203</c:v>
                </c:pt>
                <c:pt idx="3">
                  <c:v>203</c:v>
                </c:pt>
                <c:pt idx="4">
                  <c:v>203</c:v>
                </c:pt>
                <c:pt idx="5">
                  <c:v>202</c:v>
                </c:pt>
                <c:pt idx="6">
                  <c:v>203</c:v>
                </c:pt>
                <c:pt idx="7">
                  <c:v>203</c:v>
                </c:pt>
                <c:pt idx="8">
                  <c:v>203</c:v>
                </c:pt>
                <c:pt idx="9">
                  <c:v>203</c:v>
                </c:pt>
                <c:pt idx="10">
                  <c:v>202</c:v>
                </c:pt>
                <c:pt idx="11">
                  <c:v>202</c:v>
                </c:pt>
                <c:pt idx="12">
                  <c:v>204</c:v>
                </c:pt>
                <c:pt idx="13">
                  <c:v>204</c:v>
                </c:pt>
                <c:pt idx="14">
                  <c:v>204</c:v>
                </c:pt>
                <c:pt idx="15">
                  <c:v>203</c:v>
                </c:pt>
                <c:pt idx="16">
                  <c:v>203</c:v>
                </c:pt>
                <c:pt idx="17">
                  <c:v>203</c:v>
                </c:pt>
                <c:pt idx="18">
                  <c:v>203</c:v>
                </c:pt>
                <c:pt idx="19">
                  <c:v>202</c:v>
                </c:pt>
                <c:pt idx="20">
                  <c:v>203</c:v>
                </c:pt>
                <c:pt idx="21">
                  <c:v>202</c:v>
                </c:pt>
                <c:pt idx="22">
                  <c:v>203</c:v>
                </c:pt>
                <c:pt idx="23">
                  <c:v>203</c:v>
                </c:pt>
                <c:pt idx="24">
                  <c:v>203</c:v>
                </c:pt>
                <c:pt idx="25">
                  <c:v>203</c:v>
                </c:pt>
                <c:pt idx="26">
                  <c:v>202</c:v>
                </c:pt>
                <c:pt idx="27">
                  <c:v>203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Covered!E4</c:f>
              <c:strCache>
                <c:ptCount val="1"/>
                <c:pt idx="0">
                  <c:v>floorZ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Covered!$E$5:$E$32</c:f>
              <c:numCache>
                <c:formatCode>General</c:formatCode>
                <c:ptCount val="28"/>
                <c:pt idx="0">
                  <c:v>-84</c:v>
                </c:pt>
                <c:pt idx="1">
                  <c:v>-83</c:v>
                </c:pt>
                <c:pt idx="2">
                  <c:v>-84</c:v>
                </c:pt>
                <c:pt idx="3">
                  <c:v>-83</c:v>
                </c:pt>
                <c:pt idx="4">
                  <c:v>-84</c:v>
                </c:pt>
                <c:pt idx="5">
                  <c:v>-83</c:v>
                </c:pt>
                <c:pt idx="6">
                  <c:v>-82</c:v>
                </c:pt>
                <c:pt idx="7">
                  <c:v>-86</c:v>
                </c:pt>
                <c:pt idx="8">
                  <c:v>-83</c:v>
                </c:pt>
                <c:pt idx="9">
                  <c:v>-82</c:v>
                </c:pt>
                <c:pt idx="10">
                  <c:v>-83</c:v>
                </c:pt>
                <c:pt idx="11">
                  <c:v>-84</c:v>
                </c:pt>
                <c:pt idx="12">
                  <c:v>-84</c:v>
                </c:pt>
                <c:pt idx="13">
                  <c:v>-83</c:v>
                </c:pt>
                <c:pt idx="14">
                  <c:v>-84</c:v>
                </c:pt>
                <c:pt idx="15">
                  <c:v>-85</c:v>
                </c:pt>
                <c:pt idx="16">
                  <c:v>-83</c:v>
                </c:pt>
                <c:pt idx="17">
                  <c:v>-84</c:v>
                </c:pt>
                <c:pt idx="18">
                  <c:v>-82</c:v>
                </c:pt>
                <c:pt idx="19">
                  <c:v>-83</c:v>
                </c:pt>
                <c:pt idx="20">
                  <c:v>-84</c:v>
                </c:pt>
                <c:pt idx="21">
                  <c:v>-84</c:v>
                </c:pt>
                <c:pt idx="22">
                  <c:v>-85</c:v>
                </c:pt>
                <c:pt idx="23">
                  <c:v>-82</c:v>
                </c:pt>
                <c:pt idx="24">
                  <c:v>-83</c:v>
                </c:pt>
                <c:pt idx="25">
                  <c:v>-83</c:v>
                </c:pt>
                <c:pt idx="26">
                  <c:v>-86</c:v>
                </c:pt>
                <c:pt idx="27">
                  <c:v>-84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Covered!F4</c:f>
              <c:strCache>
                <c:ptCount val="1"/>
                <c:pt idx="0">
                  <c:v>plateX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Covered!$F$5:$F$32</c:f>
              <c:numCache>
                <c:formatCode>General</c:formatCode>
                <c:ptCount val="28"/>
                <c:pt idx="0">
                  <c:v>-226</c:v>
                </c:pt>
                <c:pt idx="1">
                  <c:v>-225</c:v>
                </c:pt>
                <c:pt idx="2">
                  <c:v>-225</c:v>
                </c:pt>
                <c:pt idx="3">
                  <c:v>-224</c:v>
                </c:pt>
                <c:pt idx="4">
                  <c:v>-225</c:v>
                </c:pt>
                <c:pt idx="5">
                  <c:v>-224</c:v>
                </c:pt>
                <c:pt idx="6">
                  <c:v>-224</c:v>
                </c:pt>
                <c:pt idx="7">
                  <c:v>-225</c:v>
                </c:pt>
                <c:pt idx="8">
                  <c:v>-226</c:v>
                </c:pt>
                <c:pt idx="9">
                  <c:v>-226</c:v>
                </c:pt>
                <c:pt idx="10">
                  <c:v>-226</c:v>
                </c:pt>
                <c:pt idx="11">
                  <c:v>-224</c:v>
                </c:pt>
                <c:pt idx="12">
                  <c:v>-226</c:v>
                </c:pt>
                <c:pt idx="13">
                  <c:v>-224</c:v>
                </c:pt>
                <c:pt idx="14">
                  <c:v>-225</c:v>
                </c:pt>
                <c:pt idx="15">
                  <c:v>-225</c:v>
                </c:pt>
                <c:pt idx="16">
                  <c:v>-225</c:v>
                </c:pt>
                <c:pt idx="17">
                  <c:v>-225</c:v>
                </c:pt>
                <c:pt idx="18">
                  <c:v>-225</c:v>
                </c:pt>
                <c:pt idx="19">
                  <c:v>-226</c:v>
                </c:pt>
                <c:pt idx="20">
                  <c:v>-225</c:v>
                </c:pt>
                <c:pt idx="21">
                  <c:v>-225</c:v>
                </c:pt>
                <c:pt idx="22">
                  <c:v>-224</c:v>
                </c:pt>
                <c:pt idx="23">
                  <c:v>-225</c:v>
                </c:pt>
                <c:pt idx="24">
                  <c:v>-225</c:v>
                </c:pt>
                <c:pt idx="25">
                  <c:v>-226</c:v>
                </c:pt>
                <c:pt idx="26">
                  <c:v>-224</c:v>
                </c:pt>
                <c:pt idx="27">
                  <c:v>-225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Covered!G4</c:f>
              <c:strCache>
                <c:ptCount val="1"/>
                <c:pt idx="0">
                  <c:v>plateY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Covered!$G$5:$G$32</c:f>
              <c:numCache>
                <c:formatCode>General</c:formatCode>
                <c:ptCount val="28"/>
                <c:pt idx="0">
                  <c:v>37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37</c:v>
                </c:pt>
                <c:pt idx="5">
                  <c:v>36</c:v>
                </c:pt>
                <c:pt idx="6">
                  <c:v>35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37</c:v>
                </c:pt>
                <c:pt idx="12">
                  <c:v>37</c:v>
                </c:pt>
                <c:pt idx="13">
                  <c:v>36</c:v>
                </c:pt>
                <c:pt idx="14">
                  <c:v>37</c:v>
                </c:pt>
                <c:pt idx="15">
                  <c:v>37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37</c:v>
                </c:pt>
                <c:pt idx="20">
                  <c:v>35</c:v>
                </c:pt>
                <c:pt idx="21">
                  <c:v>37</c:v>
                </c:pt>
                <c:pt idx="22">
                  <c:v>35</c:v>
                </c:pt>
                <c:pt idx="23">
                  <c:v>37</c:v>
                </c:pt>
                <c:pt idx="24">
                  <c:v>36</c:v>
                </c:pt>
                <c:pt idx="25">
                  <c:v>37</c:v>
                </c:pt>
                <c:pt idx="26">
                  <c:v>36</c:v>
                </c:pt>
                <c:pt idx="27">
                  <c:v>36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Covered!H4</c:f>
              <c:strCache>
                <c:ptCount val="1"/>
                <c:pt idx="0">
                  <c:v>plateZ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Covered!$H$5:$H$32</c:f>
              <c:numCache>
                <c:formatCode>General</c:formatCode>
                <c:ptCount val="28"/>
                <c:pt idx="0">
                  <c:v>-147</c:v>
                </c:pt>
                <c:pt idx="1">
                  <c:v>-147</c:v>
                </c:pt>
                <c:pt idx="2">
                  <c:v>-147</c:v>
                </c:pt>
                <c:pt idx="3">
                  <c:v>-148</c:v>
                </c:pt>
                <c:pt idx="4">
                  <c:v>-147</c:v>
                </c:pt>
                <c:pt idx="5">
                  <c:v>-149</c:v>
                </c:pt>
                <c:pt idx="6">
                  <c:v>-149</c:v>
                </c:pt>
                <c:pt idx="7">
                  <c:v>-148</c:v>
                </c:pt>
                <c:pt idx="8">
                  <c:v>-147</c:v>
                </c:pt>
                <c:pt idx="9">
                  <c:v>-147</c:v>
                </c:pt>
                <c:pt idx="10">
                  <c:v>-147</c:v>
                </c:pt>
                <c:pt idx="11">
                  <c:v>-148</c:v>
                </c:pt>
                <c:pt idx="12">
                  <c:v>-148</c:v>
                </c:pt>
                <c:pt idx="13">
                  <c:v>-148</c:v>
                </c:pt>
                <c:pt idx="14">
                  <c:v>-149</c:v>
                </c:pt>
                <c:pt idx="15">
                  <c:v>-148</c:v>
                </c:pt>
                <c:pt idx="16">
                  <c:v>-147</c:v>
                </c:pt>
                <c:pt idx="17">
                  <c:v>-148</c:v>
                </c:pt>
                <c:pt idx="18">
                  <c:v>-149</c:v>
                </c:pt>
                <c:pt idx="19">
                  <c:v>-149</c:v>
                </c:pt>
                <c:pt idx="20">
                  <c:v>-147</c:v>
                </c:pt>
                <c:pt idx="21">
                  <c:v>-149</c:v>
                </c:pt>
                <c:pt idx="22">
                  <c:v>-149</c:v>
                </c:pt>
                <c:pt idx="23">
                  <c:v>-147</c:v>
                </c:pt>
                <c:pt idx="24">
                  <c:v>-148</c:v>
                </c:pt>
                <c:pt idx="25">
                  <c:v>-147</c:v>
                </c:pt>
                <c:pt idx="26">
                  <c:v>-148</c:v>
                </c:pt>
                <c:pt idx="27">
                  <c:v>-148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728218"/>
        <c:axId val="18415298"/>
      </c:lineChart>
      <c:catAx>
        <c:axId val="85728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15298"/>
        <c:crosses val="autoZero"/>
        <c:auto val="1"/>
        <c:lblAlgn val="ctr"/>
        <c:lblOffset val="100"/>
        <c:noMultiLvlLbl val="0"/>
      </c:catAx>
      <c:valAx>
        <c:axId val="18415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Counts (256 = 1 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28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acceleration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Covered!K4</c:f>
              <c:strCache>
                <c:ptCount val="1"/>
                <c:pt idx="0">
                  <c:v>floor |a| (g)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Covered!$K$5:$K$32</c:f>
              <c:numCache>
                <c:formatCode>0.000</c:formatCode>
                <c:ptCount val="28"/>
                <c:pt idx="0">
                  <c:v>0.907259674617747</c:v>
                </c:pt>
                <c:pt idx="1">
                  <c:v>0.905854237399187</c:v>
                </c:pt>
                <c:pt idx="2">
                  <c:v>0.910659061755722</c:v>
                </c:pt>
                <c:pt idx="3">
                  <c:v>0.909258878969227</c:v>
                </c:pt>
                <c:pt idx="4">
                  <c:v>0.910659061755722</c:v>
                </c:pt>
                <c:pt idx="5">
                  <c:v>0.904547835722012</c:v>
                </c:pt>
                <c:pt idx="6">
                  <c:v>0.907873344023858</c:v>
                </c:pt>
                <c:pt idx="7">
                  <c:v>0.913503100727667</c:v>
                </c:pt>
                <c:pt idx="8">
                  <c:v>0.909258878969227</c:v>
                </c:pt>
                <c:pt idx="9">
                  <c:v>0.907873344023858</c:v>
                </c:pt>
                <c:pt idx="10">
                  <c:v>0.905854237399187</c:v>
                </c:pt>
                <c:pt idx="11">
                  <c:v>0.907259674617747</c:v>
                </c:pt>
                <c:pt idx="12">
                  <c:v>0.9140625</c:v>
                </c:pt>
                <c:pt idx="13">
                  <c:v>0.913979029308455</c:v>
                </c:pt>
                <c:pt idx="14">
                  <c:v>0.9140625</c:v>
                </c:pt>
                <c:pt idx="15">
                  <c:v>0.9133861680539</c:v>
                </c:pt>
                <c:pt idx="16">
                  <c:v>0.909258878969227</c:v>
                </c:pt>
                <c:pt idx="17">
                  <c:v>0.909359562798525</c:v>
                </c:pt>
                <c:pt idx="18">
                  <c:v>0.907873344023858</c:v>
                </c:pt>
                <c:pt idx="19">
                  <c:v>0.905854237399187</c:v>
                </c:pt>
                <c:pt idx="20">
                  <c:v>0.910659061755722</c:v>
                </c:pt>
                <c:pt idx="21">
                  <c:v>0.907259674617747</c:v>
                </c:pt>
                <c:pt idx="22">
                  <c:v>0.912073824922838</c:v>
                </c:pt>
                <c:pt idx="23">
                  <c:v>0.906569851960882</c:v>
                </c:pt>
                <c:pt idx="24">
                  <c:v>0.909258878969227</c:v>
                </c:pt>
                <c:pt idx="25">
                  <c:v>0.909258878969227</c:v>
                </c:pt>
                <c:pt idx="26">
                  <c:v>0.910114336481274</c:v>
                </c:pt>
                <c:pt idx="27">
                  <c:v>0.911973440753965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Covered!L4</c:f>
              <c:strCache>
                <c:ptCount val="1"/>
                <c:pt idx="0">
                  <c:v>plate |a| (g)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Covered!$L$5:$L$32</c:f>
              <c:numCache>
                <c:formatCode>0.000</c:formatCode>
                <c:ptCount val="28"/>
                <c:pt idx="0">
                  <c:v>1.06300252362559</c:v>
                </c:pt>
                <c:pt idx="1">
                  <c:v>1.05923498798219</c:v>
                </c:pt>
                <c:pt idx="2">
                  <c:v>1.05923498798219</c:v>
                </c:pt>
                <c:pt idx="3">
                  <c:v>1.05812518458356</c:v>
                </c:pt>
                <c:pt idx="4">
                  <c:v>1.05976065758604</c:v>
                </c:pt>
                <c:pt idx="5">
                  <c:v>1.06026447955289</c:v>
                </c:pt>
                <c:pt idx="6">
                  <c:v>1.05975345839404</c:v>
                </c:pt>
                <c:pt idx="7">
                  <c:v>1.06135766946824</c:v>
                </c:pt>
                <c:pt idx="8">
                  <c:v>1.06247845796177</c:v>
                </c:pt>
                <c:pt idx="9">
                  <c:v>1.06247845796177</c:v>
                </c:pt>
                <c:pt idx="10">
                  <c:v>1.06247845796177</c:v>
                </c:pt>
                <c:pt idx="11">
                  <c:v>1.0586514052565</c:v>
                </c:pt>
                <c:pt idx="12">
                  <c:v>1.06511769678652</c:v>
                </c:pt>
                <c:pt idx="13">
                  <c:v>1.05812518458356</c:v>
                </c:pt>
                <c:pt idx="14">
                  <c:v>1.06401402927414</c:v>
                </c:pt>
                <c:pt idx="15">
                  <c:v>1.06188228826957</c:v>
                </c:pt>
                <c:pt idx="16">
                  <c:v>1.05923498798219</c:v>
                </c:pt>
                <c:pt idx="17">
                  <c:v>1.06135766946824</c:v>
                </c:pt>
                <c:pt idx="18">
                  <c:v>1.06349046205908</c:v>
                </c:pt>
                <c:pt idx="19">
                  <c:v>1.06724297531508</c:v>
                </c:pt>
                <c:pt idx="20">
                  <c:v>1.05872346991185</c:v>
                </c:pt>
                <c:pt idx="21">
                  <c:v>1.06401402927414</c:v>
                </c:pt>
                <c:pt idx="22">
                  <c:v>1.05975345839404</c:v>
                </c:pt>
                <c:pt idx="23">
                  <c:v>1.05976065758604</c:v>
                </c:pt>
                <c:pt idx="24">
                  <c:v>1.06135766946824</c:v>
                </c:pt>
                <c:pt idx="25">
                  <c:v>1.06300252362559</c:v>
                </c:pt>
                <c:pt idx="26">
                  <c:v>1.05812518458356</c:v>
                </c:pt>
                <c:pt idx="27">
                  <c:v>1.06135766946824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207880"/>
        <c:axId val="14364312"/>
      </c:lineChart>
      <c:catAx>
        <c:axId val="23207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64312"/>
        <c:crosses val="autoZero"/>
        <c:auto val="1"/>
        <c:lblAlgn val="ctr"/>
        <c:lblOffset val="100"/>
        <c:noMultiLvlLbl val="0"/>
      </c:catAx>
      <c:valAx>
        <c:axId val="14364312"/>
        <c:scaling>
          <c:orientation val="minMax"/>
          <c:max val="1.2"/>
          <c:min val="0.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07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Photodiodes covered (dark)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Covered!I4</c:f>
              <c:strCache>
                <c:ptCount val="1"/>
                <c:pt idx="0">
                  <c:v>fringe (A0)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Covered!$I$5:$I$32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Covered!J4</c:f>
              <c:strCache>
                <c:ptCount val="1"/>
                <c:pt idx="0">
                  <c:v>reference (A1)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Covered!$B$5:$B$32</c:f>
              <c:strCache>
                <c:ptCount val="28"/>
                <c:pt idx="0">
                  <c:v>0.00</c:v>
                </c:pt>
                <c:pt idx="1">
                  <c:v>0.05</c:v>
                </c:pt>
                <c:pt idx="2">
                  <c:v>0.10</c:v>
                </c:pt>
                <c:pt idx="3">
                  <c:v>0.15</c:v>
                </c:pt>
                <c:pt idx="4">
                  <c:v>0.20</c:v>
                </c:pt>
                <c:pt idx="5">
                  <c:v>0.25</c:v>
                </c:pt>
                <c:pt idx="6">
                  <c:v>0.30</c:v>
                </c:pt>
                <c:pt idx="7">
                  <c:v>0.35</c:v>
                </c:pt>
                <c:pt idx="8">
                  <c:v>0.40</c:v>
                </c:pt>
                <c:pt idx="9">
                  <c:v>0.45</c:v>
                </c:pt>
                <c:pt idx="10">
                  <c:v>0.50</c:v>
                </c:pt>
                <c:pt idx="11">
                  <c:v>0.55</c:v>
                </c:pt>
                <c:pt idx="12">
                  <c:v>0.60</c:v>
                </c:pt>
                <c:pt idx="13">
                  <c:v>0.65</c:v>
                </c:pt>
                <c:pt idx="14">
                  <c:v>0.70</c:v>
                </c:pt>
                <c:pt idx="15">
                  <c:v>0.75</c:v>
                </c:pt>
                <c:pt idx="16">
                  <c:v>0.80</c:v>
                </c:pt>
                <c:pt idx="17">
                  <c:v>0.85</c:v>
                </c:pt>
                <c:pt idx="18">
                  <c:v>0.90</c:v>
                </c:pt>
                <c:pt idx="19">
                  <c:v>0.95</c:v>
                </c:pt>
                <c:pt idx="20">
                  <c:v>1.00</c:v>
                </c:pt>
                <c:pt idx="21">
                  <c:v>1.05</c:v>
                </c:pt>
                <c:pt idx="22">
                  <c:v>1.10</c:v>
                </c:pt>
                <c:pt idx="23">
                  <c:v>1.15</c:v>
                </c:pt>
                <c:pt idx="24">
                  <c:v>1.20</c:v>
                </c:pt>
                <c:pt idx="25">
                  <c:v>1.25</c:v>
                </c:pt>
                <c:pt idx="26">
                  <c:v>1.30</c:v>
                </c:pt>
                <c:pt idx="27">
                  <c:v>1.35</c:v>
                </c:pt>
              </c:strCache>
            </c:strRef>
          </c:cat>
          <c:val>
            <c:numRef>
              <c:f>Covered!$J$5:$J$32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031052"/>
        <c:axId val="54102236"/>
      </c:lineChart>
      <c:catAx>
        <c:axId val="42031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02236"/>
        <c:crosses val="autoZero"/>
        <c:auto val="1"/>
        <c:lblAlgn val="ctr"/>
        <c:lblOffset val="100"/>
        <c:noMultiLvlLbl val="0"/>
      </c:catAx>
      <c:valAx>
        <c:axId val="54102236"/>
        <c:scaling>
          <c:orientation val="minMax"/>
          <c:max val="4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ADC counts (0 to 1023)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31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22</xdr:col>
      <xdr:colOff>255960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92811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160920</xdr:rowOff>
    </xdr:from>
    <xdr:to>
      <xdr:col>22</xdr:col>
      <xdr:colOff>255960</xdr:colOff>
      <xdr:row>34</xdr:row>
      <xdr:rowOff>182880</xdr:rowOff>
    </xdr:to>
    <xdr:graphicFrame>
      <xdr:nvGraphicFramePr>
        <xdr:cNvPr id="1" name="Chart 2"/>
        <xdr:cNvGraphicFramePr/>
      </xdr:nvGraphicFramePr>
      <xdr:xfrm>
        <a:off x="928116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36</xdr:row>
      <xdr:rowOff>160560</xdr:rowOff>
    </xdr:from>
    <xdr:to>
      <xdr:col>22</xdr:col>
      <xdr:colOff>255960</xdr:colOff>
      <xdr:row>51</xdr:row>
      <xdr:rowOff>182520</xdr:rowOff>
    </xdr:to>
    <xdr:graphicFrame>
      <xdr:nvGraphicFramePr>
        <xdr:cNvPr id="2" name="Chart 3"/>
        <xdr:cNvGraphicFramePr/>
      </xdr:nvGraphicFramePr>
      <xdr:xfrm>
        <a:off x="9281160" y="7238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22</xdr:col>
      <xdr:colOff>255960</xdr:colOff>
      <xdr:row>16</xdr:row>
      <xdr:rowOff>182880</xdr:rowOff>
    </xdr:to>
    <xdr:graphicFrame>
      <xdr:nvGraphicFramePr>
        <xdr:cNvPr id="3" name="Chart 1"/>
        <xdr:cNvGraphicFramePr/>
      </xdr:nvGraphicFramePr>
      <xdr:xfrm>
        <a:off x="92811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160920</xdr:rowOff>
    </xdr:from>
    <xdr:to>
      <xdr:col>22</xdr:col>
      <xdr:colOff>255960</xdr:colOff>
      <xdr:row>34</xdr:row>
      <xdr:rowOff>182880</xdr:rowOff>
    </xdr:to>
    <xdr:graphicFrame>
      <xdr:nvGraphicFramePr>
        <xdr:cNvPr id="4" name="Chart 2"/>
        <xdr:cNvGraphicFramePr/>
      </xdr:nvGraphicFramePr>
      <xdr:xfrm>
        <a:off x="928116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36</xdr:row>
      <xdr:rowOff>160560</xdr:rowOff>
    </xdr:from>
    <xdr:to>
      <xdr:col>22</xdr:col>
      <xdr:colOff>255960</xdr:colOff>
      <xdr:row>51</xdr:row>
      <xdr:rowOff>182520</xdr:rowOff>
    </xdr:to>
    <xdr:graphicFrame>
      <xdr:nvGraphicFramePr>
        <xdr:cNvPr id="5" name="Chart 3"/>
        <xdr:cNvGraphicFramePr/>
      </xdr:nvGraphicFramePr>
      <xdr:xfrm>
        <a:off x="9281160" y="7238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256</v>
      </c>
      <c r="C4" s="3" t="s">
        <v>3</v>
      </c>
    </row>
    <row r="5" customFormat="false" ht="15" hidden="false" customHeight="false" outlineLevel="0" collapsed="false">
      <c r="A5" s="3" t="s">
        <v>4</v>
      </c>
      <c r="B5" s="4" t="n">
        <v>0.05</v>
      </c>
      <c r="C5" s="3" t="s">
        <v>5</v>
      </c>
    </row>
    <row r="8" customFormat="false" ht="15" hidden="false" customHeight="false" outlineLevel="0" collapsed="false">
      <c r="A8" s="2" t="s">
        <v>6</v>
      </c>
    </row>
    <row r="9" customFormat="false" ht="30" hidden="false" customHeight="true" outlineLevel="0" collapsed="false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</row>
    <row r="10" customFormat="false" ht="15" hidden="false" customHeight="false" outlineLevel="0" collapsed="false">
      <c r="A10" s="6" t="s">
        <v>12</v>
      </c>
      <c r="B10" s="7" t="n">
        <f aca="false">AVERAGE('Room light'!C5:C20)</f>
        <v>-77.875</v>
      </c>
      <c r="C10" s="7" t="n">
        <f aca="false">STDEV('Room light'!C5:C20)</f>
        <v>0.61913918736689</v>
      </c>
      <c r="D10" s="7" t="n">
        <f aca="false">AVERAGE(Covered!C5:C32)</f>
        <v>-78</v>
      </c>
      <c r="E10" s="7" t="n">
        <f aca="false">STDEV(Covered!C5:C32)</f>
        <v>0.471404520791032</v>
      </c>
    </row>
    <row r="11" customFormat="false" ht="15" hidden="false" customHeight="false" outlineLevel="0" collapsed="false">
      <c r="A11" s="6" t="s">
        <v>13</v>
      </c>
      <c r="B11" s="7" t="n">
        <f aca="false">AVERAGE('Room light'!D5:D20)</f>
        <v>203.25</v>
      </c>
      <c r="C11" s="7" t="n">
        <f aca="false">STDEV('Room light'!D5:D20)</f>
        <v>0.683130051063973</v>
      </c>
      <c r="D11" s="7" t="n">
        <f aca="false">AVERAGE(Covered!D5:D32)</f>
        <v>202.821428571429</v>
      </c>
      <c r="E11" s="7" t="n">
        <f aca="false">STDEV(Covered!D5:D32)</f>
        <v>0.611832186419303</v>
      </c>
    </row>
    <row r="12" customFormat="false" ht="15" hidden="false" customHeight="false" outlineLevel="0" collapsed="false">
      <c r="A12" s="6" t="s">
        <v>14</v>
      </c>
      <c r="B12" s="7" t="n">
        <f aca="false">AVERAGE('Room light'!E5:E20)</f>
        <v>-83</v>
      </c>
      <c r="C12" s="7" t="n">
        <f aca="false">STDEV('Room light'!E5:E20)</f>
        <v>1.15470053837925</v>
      </c>
      <c r="D12" s="7" t="n">
        <f aca="false">AVERAGE(Covered!E5:E32)</f>
        <v>-83.5714285714286</v>
      </c>
      <c r="E12" s="7" t="n">
        <f aca="false">STDEV(Covered!E5:E32)</f>
        <v>1.0690449676497</v>
      </c>
    </row>
    <row r="13" customFormat="false" ht="15" hidden="false" customHeight="false" outlineLevel="0" collapsed="false">
      <c r="A13" s="6" t="s">
        <v>15</v>
      </c>
      <c r="B13" s="7" t="n">
        <f aca="false">AVERAGE('Room light'!F5:F20)</f>
        <v>-226.3125</v>
      </c>
      <c r="C13" s="7" t="n">
        <f aca="false">STDEV('Room light'!F5:F20)</f>
        <v>0.704154339142587</v>
      </c>
      <c r="D13" s="7" t="n">
        <f aca="false">AVERAGE(Covered!F5:F32)</f>
        <v>-225</v>
      </c>
      <c r="E13" s="7" t="n">
        <f aca="false">STDEV(Covered!F5:F32)</f>
        <v>0.720082299823096</v>
      </c>
    </row>
    <row r="14" customFormat="false" ht="15" hidden="false" customHeight="false" outlineLevel="0" collapsed="false">
      <c r="A14" s="6" t="s">
        <v>16</v>
      </c>
      <c r="B14" s="7" t="n">
        <f aca="false">AVERAGE('Room light'!G5:G20)</f>
        <v>35.75</v>
      </c>
      <c r="C14" s="7" t="n">
        <f aca="false">STDEV('Room light'!G5:G20)</f>
        <v>0.447213595499958</v>
      </c>
      <c r="D14" s="7" t="n">
        <f aca="false">AVERAGE(Covered!G5:G32)</f>
        <v>36.25</v>
      </c>
      <c r="E14" s="7" t="n">
        <f aca="false">STDEV(Covered!G5:G32)</f>
        <v>0.645497224367903</v>
      </c>
    </row>
    <row r="15" customFormat="false" ht="15" hidden="false" customHeight="false" outlineLevel="0" collapsed="false">
      <c r="A15" s="6" t="s">
        <v>17</v>
      </c>
      <c r="B15" s="7" t="n">
        <f aca="false">AVERAGE('Room light'!H5:H20)</f>
        <v>-145.75</v>
      </c>
      <c r="C15" s="7" t="n">
        <f aca="false">STDEV('Room light'!H5:H20)</f>
        <v>0.774596669241483</v>
      </c>
      <c r="D15" s="7" t="n">
        <f aca="false">AVERAGE(Covered!H5:H32)</f>
        <v>-147.857142857143</v>
      </c>
      <c r="E15" s="7" t="n">
        <f aca="false">STDEV(Covered!H5:H32)</f>
        <v>0.803431792688493</v>
      </c>
    </row>
    <row r="16" customFormat="false" ht="15" hidden="false" customHeight="false" outlineLevel="0" collapsed="false">
      <c r="A16" s="6" t="s">
        <v>18</v>
      </c>
      <c r="B16" s="7" t="n">
        <f aca="false">AVERAGE('Room light'!I5:I20)</f>
        <v>18.875</v>
      </c>
      <c r="C16" s="7" t="n">
        <f aca="false">STDEV('Room light'!I5:I20)</f>
        <v>0.5</v>
      </c>
      <c r="D16" s="7" t="n">
        <f aca="false">AVERAGE(Covered!I5:I32)</f>
        <v>0.0714285714285714</v>
      </c>
      <c r="E16" s="7" t="n">
        <f aca="false">STDEV(Covered!I5:I32)</f>
        <v>0.262265264156481</v>
      </c>
    </row>
    <row r="17" customFormat="false" ht="15" hidden="false" customHeight="false" outlineLevel="0" collapsed="false">
      <c r="A17" s="6" t="s">
        <v>19</v>
      </c>
      <c r="B17" s="7" t="n">
        <f aca="false">AVERAGE('Room light'!J5:J20)</f>
        <v>13.8125</v>
      </c>
      <c r="C17" s="7" t="n">
        <f aca="false">STDEV('Room light'!J5:J20)</f>
        <v>0.543905629069357</v>
      </c>
      <c r="D17" s="7" t="n">
        <f aca="false">AVERAGE(Covered!J5:J32)</f>
        <v>0</v>
      </c>
      <c r="E17" s="7" t="n">
        <f aca="false">STDEV(Covered!J5:J32)</f>
        <v>0</v>
      </c>
    </row>
    <row r="18" customFormat="false" ht="15" hidden="false" customHeight="false" outlineLevel="0" collapsed="false">
      <c r="A18" s="6" t="s">
        <v>20</v>
      </c>
      <c r="B18" s="8" t="n">
        <f aca="false">AVERAGE('Room light'!K5:K20)</f>
        <v>0.90996147502742</v>
      </c>
      <c r="C18" s="8" t="n">
        <f aca="false">STDEV('Room light'!K5:K20)</f>
        <v>0.00241519195742878</v>
      </c>
      <c r="D18" s="8" t="n">
        <f aca="false">AVERAGE(Covered!K5:K32)</f>
        <v>0.9094594821059</v>
      </c>
      <c r="E18" s="8" t="n">
        <f aca="false">STDEV(Covered!K5:K32)</f>
        <v>0.00276362555021066</v>
      </c>
    </row>
    <row r="19" customFormat="false" ht="15" hidden="false" customHeight="false" outlineLevel="0" collapsed="false">
      <c r="A19" s="6" t="s">
        <v>21</v>
      </c>
      <c r="B19" s="8" t="n">
        <f aca="false">AVERAGE('Room light'!L5:L20)</f>
        <v>1.06073839412754</v>
      </c>
      <c r="C19" s="8" t="n">
        <f aca="false">STDEV('Room light'!L5:L20)</f>
        <v>0.00363630888377178</v>
      </c>
      <c r="D19" s="8" t="n">
        <f aca="false">AVERAGE(Covered!L5:L32)</f>
        <v>1.06119216729881</v>
      </c>
      <c r="E19" s="8" t="n">
        <f aca="false">STDEV(Covered!L5:L32)</f>
        <v>0.00233090207877371</v>
      </c>
    </row>
    <row r="21" customFormat="false" ht="15" hidden="false" customHeight="false" outlineLevel="0" collapsed="false">
      <c r="A21" s="2" t="s">
        <v>22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3" t="s">
        <v>24</v>
      </c>
    </row>
    <row r="24" customFormat="false" ht="15" hidden="false" customHeight="false" outlineLevel="0" collapsed="false">
      <c r="A24" s="3" t="s">
        <v>25</v>
      </c>
    </row>
    <row r="25" customFormat="false" ht="15" hidden="false" customHeight="false" outlineLevel="0" collapsed="false">
      <c r="A25" s="3" t="s">
        <v>26</v>
      </c>
    </row>
    <row r="26" customFormat="false" ht="15" hidden="false" customHeight="false" outlineLevel="0" collapsed="false">
      <c r="A26" s="3" t="s">
        <v>27</v>
      </c>
    </row>
    <row r="27" customFormat="false" ht="15" hidden="false" customHeight="false" outlineLevel="0" collapsed="false">
      <c r="A27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9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9" t="s">
        <v>30</v>
      </c>
    </row>
    <row r="4" customFormat="false" ht="30" hidden="false" customHeight="true" outlineLevel="0" collapsed="false">
      <c r="A4" s="5" t="s">
        <v>31</v>
      </c>
      <c r="B4" s="5" t="s">
        <v>32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</row>
    <row r="5" customFormat="false" ht="15" hidden="false" customHeight="false" outlineLevel="0" collapsed="false">
      <c r="A5" s="10" t="n">
        <v>1</v>
      </c>
      <c r="B5" s="11" t="n">
        <f aca="false">(A5-1)*Summary!$B$5</f>
        <v>0</v>
      </c>
      <c r="C5" s="12" t="n">
        <v>-77</v>
      </c>
      <c r="D5" s="12" t="n">
        <v>204</v>
      </c>
      <c r="E5" s="12" t="n">
        <v>-83</v>
      </c>
      <c r="F5" s="12" t="n">
        <v>-226</v>
      </c>
      <c r="G5" s="12" t="n">
        <v>36</v>
      </c>
      <c r="H5" s="12" t="n">
        <v>-145</v>
      </c>
      <c r="I5" s="12" t="n">
        <v>18</v>
      </c>
      <c r="J5" s="12" t="n">
        <v>13</v>
      </c>
      <c r="K5" s="8" t="n">
        <f aca="false">SQRT(C5^2+D5^2+E5^2)/Summary!$B$4</f>
        <v>0.911370903544833</v>
      </c>
      <c r="L5" s="8" t="n">
        <f aca="false">SQRT(F5^2+G5^2+H5^2)/Summary!$B$4</f>
        <v>1.05827658994249</v>
      </c>
    </row>
    <row r="6" customFormat="false" ht="15" hidden="false" customHeight="false" outlineLevel="0" collapsed="false">
      <c r="A6" s="10" t="n">
        <v>2</v>
      </c>
      <c r="B6" s="11" t="n">
        <f aca="false">(A6-1)*Summary!$B$5</f>
        <v>0.05</v>
      </c>
      <c r="C6" s="12" t="n">
        <v>-78</v>
      </c>
      <c r="D6" s="12" t="n">
        <v>203</v>
      </c>
      <c r="E6" s="12" t="n">
        <v>-85</v>
      </c>
      <c r="F6" s="12" t="n">
        <v>-227</v>
      </c>
      <c r="G6" s="12" t="n">
        <v>36</v>
      </c>
      <c r="H6" s="12" t="n">
        <v>-146</v>
      </c>
      <c r="I6" s="12" t="n">
        <v>19</v>
      </c>
      <c r="J6" s="12" t="n">
        <v>14</v>
      </c>
      <c r="K6" s="8" t="n">
        <f aca="false">SQRT(C6^2+D6^2+E6^2)/Summary!$B$4</f>
        <v>0.912073824922838</v>
      </c>
      <c r="L6" s="8" t="n">
        <f aca="false">SQRT(F6^2+G6^2+H6^2)/Summary!$B$4</f>
        <v>1.06362675778809</v>
      </c>
    </row>
    <row r="7" customFormat="false" ht="15" hidden="false" customHeight="false" outlineLevel="0" collapsed="false">
      <c r="A7" s="10" t="n">
        <v>3</v>
      </c>
      <c r="B7" s="11" t="n">
        <f aca="false">(A7-1)*Summary!$B$5</f>
        <v>0.1</v>
      </c>
      <c r="C7" s="12" t="n">
        <v>-78</v>
      </c>
      <c r="D7" s="12" t="n">
        <v>203</v>
      </c>
      <c r="E7" s="12" t="n">
        <v>-81</v>
      </c>
      <c r="F7" s="12" t="n">
        <v>-226</v>
      </c>
      <c r="G7" s="12" t="n">
        <v>36</v>
      </c>
      <c r="H7" s="12" t="n">
        <v>-145</v>
      </c>
      <c r="I7" s="12" t="n">
        <v>19</v>
      </c>
      <c r="J7" s="12" t="n">
        <v>14</v>
      </c>
      <c r="K7" s="8" t="n">
        <f aca="false">SQRT(C7^2+D7^2+E7^2)/Summary!$B$4</f>
        <v>0.906502524084669</v>
      </c>
      <c r="L7" s="8" t="n">
        <f aca="false">SQRT(F7^2+G7^2+H7^2)/Summary!$B$4</f>
        <v>1.05827658994249</v>
      </c>
    </row>
    <row r="8" customFormat="false" ht="15" hidden="false" customHeight="false" outlineLevel="0" collapsed="false">
      <c r="A8" s="10" t="n">
        <v>4</v>
      </c>
      <c r="B8" s="11" t="n">
        <f aca="false">(A8-1)*Summary!$B$5</f>
        <v>0.15</v>
      </c>
      <c r="C8" s="12" t="n">
        <v>-78</v>
      </c>
      <c r="D8" s="12" t="n">
        <v>203</v>
      </c>
      <c r="E8" s="12" t="n">
        <v>-82</v>
      </c>
      <c r="F8" s="12" t="n">
        <v>-226</v>
      </c>
      <c r="G8" s="12" t="n">
        <v>36</v>
      </c>
      <c r="H8" s="12" t="n">
        <v>-145</v>
      </c>
      <c r="I8" s="12" t="n">
        <v>19</v>
      </c>
      <c r="J8" s="12" t="n">
        <v>13</v>
      </c>
      <c r="K8" s="8" t="n">
        <f aca="false">SQRT(C8^2+D8^2+E8^2)/Summary!$B$4</f>
        <v>0.907873344023858</v>
      </c>
      <c r="L8" s="8" t="n">
        <f aca="false">SQRT(F8^2+G8^2+H8^2)/Summary!$B$4</f>
        <v>1.05827658994249</v>
      </c>
    </row>
    <row r="9" customFormat="false" ht="15" hidden="false" customHeight="false" outlineLevel="0" collapsed="false">
      <c r="A9" s="10" t="n">
        <v>5</v>
      </c>
      <c r="B9" s="11" t="n">
        <f aca="false">(A9-1)*Summary!$B$5</f>
        <v>0.2</v>
      </c>
      <c r="C9" s="12" t="n">
        <v>-78</v>
      </c>
      <c r="D9" s="12" t="n">
        <v>204</v>
      </c>
      <c r="E9" s="12" t="n">
        <v>-83</v>
      </c>
      <c r="F9" s="12" t="n">
        <v>-226</v>
      </c>
      <c r="G9" s="12" t="n">
        <v>36</v>
      </c>
      <c r="H9" s="12" t="n">
        <v>-146</v>
      </c>
      <c r="I9" s="12" t="n">
        <v>19</v>
      </c>
      <c r="J9" s="12" t="n">
        <v>14</v>
      </c>
      <c r="K9" s="8" t="n">
        <f aca="false">SQRT(C9^2+D9^2+E9^2)/Summary!$B$4</f>
        <v>0.912667538664991</v>
      </c>
      <c r="L9" s="8" t="n">
        <f aca="false">SQRT(F9^2+G9^2+H9^2)/Summary!$B$4</f>
        <v>1.06037241025854</v>
      </c>
    </row>
    <row r="10" customFormat="false" ht="15" hidden="false" customHeight="false" outlineLevel="0" collapsed="false">
      <c r="A10" s="10" t="n">
        <v>6</v>
      </c>
      <c r="B10" s="11" t="n">
        <f aca="false">(A10-1)*Summary!$B$5</f>
        <v>0.25</v>
      </c>
      <c r="C10" s="12" t="n">
        <v>-79</v>
      </c>
      <c r="D10" s="12" t="n">
        <v>204</v>
      </c>
      <c r="E10" s="12" t="n">
        <v>-81</v>
      </c>
      <c r="F10" s="12" t="n">
        <v>-227</v>
      </c>
      <c r="G10" s="12" t="n">
        <v>36</v>
      </c>
      <c r="H10" s="12" t="n">
        <v>-146</v>
      </c>
      <c r="I10" s="12" t="n">
        <v>18</v>
      </c>
      <c r="J10" s="12" t="n">
        <v>13</v>
      </c>
      <c r="K10" s="8" t="n">
        <f aca="false">SQRT(C10^2+D10^2+E10^2)/Summary!$B$4</f>
        <v>0.911236952281417</v>
      </c>
      <c r="L10" s="8" t="n">
        <f aca="false">SQRT(F10^2+G10^2+H10^2)/Summary!$B$4</f>
        <v>1.06362675778809</v>
      </c>
    </row>
    <row r="11" customFormat="false" ht="15" hidden="false" customHeight="false" outlineLevel="0" collapsed="false">
      <c r="A11" s="10" t="n">
        <v>7</v>
      </c>
      <c r="B11" s="11" t="n">
        <f aca="false">(A11-1)*Summary!$B$5</f>
        <v>0.3</v>
      </c>
      <c r="C11" s="12" t="n">
        <v>-78</v>
      </c>
      <c r="D11" s="12" t="n">
        <v>203</v>
      </c>
      <c r="E11" s="12" t="n">
        <v>-82</v>
      </c>
      <c r="F11" s="12" t="n">
        <v>-227</v>
      </c>
      <c r="G11" s="12" t="n">
        <v>36</v>
      </c>
      <c r="H11" s="12" t="n">
        <v>-147</v>
      </c>
      <c r="I11" s="12" t="n">
        <v>19</v>
      </c>
      <c r="J11" s="12" t="n">
        <v>14</v>
      </c>
      <c r="K11" s="8" t="n">
        <f aca="false">SQRT(C11^2+D11^2+E11^2)/Summary!$B$4</f>
        <v>0.907873344023858</v>
      </c>
      <c r="L11" s="8" t="n">
        <f aca="false">SQRT(F11^2+G11^2+H11^2)/Summary!$B$4</f>
        <v>1.0657263743936</v>
      </c>
    </row>
    <row r="12" customFormat="false" ht="15" hidden="false" customHeight="false" outlineLevel="0" collapsed="false">
      <c r="A12" s="10" t="n">
        <v>8</v>
      </c>
      <c r="B12" s="11" t="n">
        <f aca="false">(A12-1)*Summary!$B$5</f>
        <v>0.35</v>
      </c>
      <c r="C12" s="12" t="n">
        <v>-78</v>
      </c>
      <c r="D12" s="12" t="n">
        <v>204</v>
      </c>
      <c r="E12" s="12" t="n">
        <v>-82</v>
      </c>
      <c r="F12" s="12" t="n">
        <v>-226</v>
      </c>
      <c r="G12" s="12" t="n">
        <v>36</v>
      </c>
      <c r="H12" s="12" t="n">
        <v>-145</v>
      </c>
      <c r="I12" s="12" t="n">
        <v>19</v>
      </c>
      <c r="J12" s="12" t="n">
        <v>14</v>
      </c>
      <c r="K12" s="8" t="n">
        <f aca="false">SQRT(C12^2+D12^2+E12^2)/Summary!$B$4</f>
        <v>0.911287186312581</v>
      </c>
      <c r="L12" s="8" t="n">
        <f aca="false">SQRT(F12^2+G12^2+H12^2)/Summary!$B$4</f>
        <v>1.05827658994249</v>
      </c>
    </row>
    <row r="13" customFormat="false" ht="15" hidden="false" customHeight="false" outlineLevel="0" collapsed="false">
      <c r="A13" s="10" t="n">
        <v>9</v>
      </c>
      <c r="B13" s="11" t="n">
        <f aca="false">(A13-1)*Summary!$B$5</f>
        <v>0.4</v>
      </c>
      <c r="C13" s="12" t="n">
        <v>-78</v>
      </c>
      <c r="D13" s="12" t="n">
        <v>203</v>
      </c>
      <c r="E13" s="12" t="n">
        <v>-84</v>
      </c>
      <c r="F13" s="12" t="n">
        <v>-226</v>
      </c>
      <c r="G13" s="12" t="n">
        <v>36</v>
      </c>
      <c r="H13" s="12" t="n">
        <v>-146</v>
      </c>
      <c r="I13" s="12" t="n">
        <v>19</v>
      </c>
      <c r="J13" s="12" t="n">
        <v>14</v>
      </c>
      <c r="K13" s="8" t="n">
        <f aca="false">SQRT(C13^2+D13^2+E13^2)/Summary!$B$4</f>
        <v>0.910659061755722</v>
      </c>
      <c r="L13" s="8" t="n">
        <f aca="false">SQRT(F13^2+G13^2+H13^2)/Summary!$B$4</f>
        <v>1.06037241025854</v>
      </c>
    </row>
    <row r="14" customFormat="false" ht="15" hidden="false" customHeight="false" outlineLevel="0" collapsed="false">
      <c r="A14" s="10" t="n">
        <v>10</v>
      </c>
      <c r="B14" s="11" t="n">
        <f aca="false">(A14-1)*Summary!$B$5</f>
        <v>0.45</v>
      </c>
      <c r="C14" s="12" t="n">
        <v>-78</v>
      </c>
      <c r="D14" s="12" t="n">
        <v>204</v>
      </c>
      <c r="E14" s="12" t="n">
        <v>-84</v>
      </c>
      <c r="F14" s="12" t="n">
        <v>-226</v>
      </c>
      <c r="G14" s="12" t="n">
        <v>35</v>
      </c>
      <c r="H14" s="12" t="n">
        <v>-146</v>
      </c>
      <c r="I14" s="12" t="n">
        <v>19</v>
      </c>
      <c r="J14" s="12" t="n">
        <v>14</v>
      </c>
      <c r="K14" s="8" t="n">
        <f aca="false">SQRT(C14^2+D14^2+E14^2)/Summary!$B$4</f>
        <v>0.9140625</v>
      </c>
      <c r="L14" s="8" t="n">
        <f aca="false">SQRT(F14^2+G14^2+H14^2)/Summary!$B$4</f>
        <v>1.05986144113939</v>
      </c>
    </row>
    <row r="15" customFormat="false" ht="15" hidden="false" customHeight="false" outlineLevel="0" collapsed="false">
      <c r="A15" s="10" t="n">
        <v>11</v>
      </c>
      <c r="B15" s="11" t="n">
        <f aca="false">(A15-1)*Summary!$B$5</f>
        <v>0.5</v>
      </c>
      <c r="C15" s="12" t="n">
        <v>-77</v>
      </c>
      <c r="D15" s="12" t="n">
        <v>202</v>
      </c>
      <c r="E15" s="12" t="n">
        <v>-84</v>
      </c>
      <c r="F15" s="12" t="n">
        <v>-228</v>
      </c>
      <c r="G15" s="12" t="n">
        <v>36</v>
      </c>
      <c r="H15" s="12" t="n">
        <v>-147</v>
      </c>
      <c r="I15" s="12" t="n">
        <v>19</v>
      </c>
      <c r="J15" s="12" t="n">
        <v>14</v>
      </c>
      <c r="K15" s="8" t="n">
        <f aca="false">SQRT(C15^2+D15^2+E15^2)/Summary!$B$4</f>
        <v>0.905955299605236</v>
      </c>
      <c r="L15" s="8" t="n">
        <f aca="false">SQRT(F15^2+G15^2+H15^2)/Summary!$B$4</f>
        <v>1.06897869674824</v>
      </c>
    </row>
    <row r="16" customFormat="false" ht="15" hidden="false" customHeight="false" outlineLevel="0" collapsed="false">
      <c r="A16" s="10" t="n">
        <v>12</v>
      </c>
      <c r="B16" s="11" t="n">
        <f aca="false">(A16-1)*Summary!$B$5</f>
        <v>0.55</v>
      </c>
      <c r="C16" s="12" t="n">
        <v>-77</v>
      </c>
      <c r="D16" s="12" t="n">
        <v>203</v>
      </c>
      <c r="E16" s="12" t="n">
        <v>-84</v>
      </c>
      <c r="F16" s="12" t="n">
        <v>-225</v>
      </c>
      <c r="G16" s="12" t="n">
        <v>35</v>
      </c>
      <c r="H16" s="12" t="n">
        <v>-145</v>
      </c>
      <c r="I16" s="12" t="n">
        <v>19</v>
      </c>
      <c r="J16" s="12" t="n">
        <v>13</v>
      </c>
      <c r="K16" s="8" t="n">
        <f aca="false">SQRT(C16^2+D16^2+E16^2)/Summary!$B$4</f>
        <v>0.909359562798525</v>
      </c>
      <c r="L16" s="8" t="n">
        <f aca="false">SQRT(F16^2+G16^2+H16^2)/Summary!$B$4</f>
        <v>1.0545066395854</v>
      </c>
    </row>
    <row r="17" customFormat="false" ht="15" hidden="false" customHeight="false" outlineLevel="0" collapsed="false">
      <c r="A17" s="10" t="n">
        <v>13</v>
      </c>
      <c r="B17" s="11" t="n">
        <f aca="false">(A17-1)*Summary!$B$5</f>
        <v>0.6</v>
      </c>
      <c r="C17" s="12" t="n">
        <v>-77</v>
      </c>
      <c r="D17" s="12" t="n">
        <v>203</v>
      </c>
      <c r="E17" s="12" t="n">
        <v>-84</v>
      </c>
      <c r="F17" s="12" t="n">
        <v>-226</v>
      </c>
      <c r="G17" s="12" t="n">
        <v>35</v>
      </c>
      <c r="H17" s="12" t="n">
        <v>-145</v>
      </c>
      <c r="I17" s="12" t="n">
        <v>18</v>
      </c>
      <c r="J17" s="12" t="n">
        <v>14</v>
      </c>
      <c r="K17" s="8" t="n">
        <f aca="false">SQRT(C17^2+D17^2+E17^2)/Summary!$B$4</f>
        <v>0.909359562798525</v>
      </c>
      <c r="L17" s="8" t="n">
        <f aca="false">SQRT(F17^2+G17^2+H17^2)/Summary!$B$4</f>
        <v>1.05776460840627</v>
      </c>
    </row>
    <row r="18" customFormat="false" ht="15" hidden="false" customHeight="false" outlineLevel="0" collapsed="false">
      <c r="A18" s="10" t="n">
        <v>14</v>
      </c>
      <c r="B18" s="11" t="n">
        <f aca="false">(A18-1)*Summary!$B$5</f>
        <v>0.65</v>
      </c>
      <c r="C18" s="12" t="n">
        <v>-78</v>
      </c>
      <c r="D18" s="12" t="n">
        <v>204</v>
      </c>
      <c r="E18" s="12" t="n">
        <v>-83</v>
      </c>
      <c r="F18" s="12" t="n">
        <v>-226</v>
      </c>
      <c r="G18" s="12" t="n">
        <v>36</v>
      </c>
      <c r="H18" s="12" t="n">
        <v>-145</v>
      </c>
      <c r="I18" s="12" t="n">
        <v>19</v>
      </c>
      <c r="J18" s="12" t="n">
        <v>14</v>
      </c>
      <c r="K18" s="8" t="n">
        <f aca="false">SQRT(C18^2+D18^2+E18^2)/Summary!$B$4</f>
        <v>0.912667538664991</v>
      </c>
      <c r="L18" s="8" t="n">
        <f aca="false">SQRT(F18^2+G18^2+H18^2)/Summary!$B$4</f>
        <v>1.05827658994249</v>
      </c>
    </row>
    <row r="19" customFormat="false" ht="15" hidden="false" customHeight="false" outlineLevel="0" collapsed="false">
      <c r="A19" s="10" t="n">
        <v>15</v>
      </c>
      <c r="B19" s="11" t="n">
        <f aca="false">(A19-1)*Summary!$B$5</f>
        <v>0.7</v>
      </c>
      <c r="C19" s="12" t="n">
        <v>-79</v>
      </c>
      <c r="D19" s="12" t="n">
        <v>202</v>
      </c>
      <c r="E19" s="12" t="n">
        <v>-83</v>
      </c>
      <c r="F19" s="12" t="n">
        <v>-226</v>
      </c>
      <c r="G19" s="12" t="n">
        <v>35</v>
      </c>
      <c r="H19" s="12" t="n">
        <v>-147</v>
      </c>
      <c r="I19" s="12" t="n">
        <v>20</v>
      </c>
      <c r="J19" s="12" t="n">
        <v>15</v>
      </c>
      <c r="K19" s="8" t="n">
        <f aca="false">SQRT(C19^2+D19^2+E19^2)/Summary!$B$4</f>
        <v>0.907175577987456</v>
      </c>
      <c r="L19" s="8" t="n">
        <f aca="false">SQRT(F19^2+G19^2+H19^2)/Summary!$B$4</f>
        <v>1.06196850217385</v>
      </c>
    </row>
    <row r="20" customFormat="false" ht="15" hidden="false" customHeight="false" outlineLevel="0" collapsed="false">
      <c r="A20" s="10" t="n">
        <v>16</v>
      </c>
      <c r="B20" s="11" t="n">
        <f aca="false">(A20-1)*Summary!$B$5</f>
        <v>0.75</v>
      </c>
      <c r="C20" s="12" t="n">
        <v>-78</v>
      </c>
      <c r="D20" s="12" t="n">
        <v>203</v>
      </c>
      <c r="E20" s="12" t="n">
        <v>-83</v>
      </c>
      <c r="F20" s="12" t="n">
        <v>-227</v>
      </c>
      <c r="G20" s="12" t="n">
        <v>36</v>
      </c>
      <c r="H20" s="12" t="n">
        <v>-146</v>
      </c>
      <c r="I20" s="12" t="n">
        <v>19</v>
      </c>
      <c r="J20" s="12" t="n">
        <v>14</v>
      </c>
      <c r="K20" s="8" t="n">
        <f aca="false">SQRT(C20^2+D20^2+E20^2)/Summary!$B$4</f>
        <v>0.909258878969227</v>
      </c>
      <c r="L20" s="8" t="n">
        <f aca="false">SQRT(F20^2+G20^2+H20^2)/Summary!$B$4</f>
        <v>1.06362675778809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9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3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9" t="s">
        <v>30</v>
      </c>
    </row>
    <row r="4" customFormat="false" ht="30" hidden="false" customHeight="true" outlineLevel="0" collapsed="false">
      <c r="A4" s="5" t="s">
        <v>31</v>
      </c>
      <c r="B4" s="5" t="s">
        <v>32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</row>
    <row r="5" customFormat="false" ht="15" hidden="false" customHeight="false" outlineLevel="0" collapsed="false">
      <c r="A5" s="10" t="n">
        <v>1</v>
      </c>
      <c r="B5" s="11" t="n">
        <f aca="false">(A5-1)*Summary!$B$5</f>
        <v>0</v>
      </c>
      <c r="C5" s="12" t="n">
        <v>-78</v>
      </c>
      <c r="D5" s="12" t="n">
        <v>202</v>
      </c>
      <c r="E5" s="12" t="n">
        <v>-84</v>
      </c>
      <c r="F5" s="12" t="n">
        <v>-226</v>
      </c>
      <c r="G5" s="12" t="n">
        <v>37</v>
      </c>
      <c r="H5" s="12" t="n">
        <v>-147</v>
      </c>
      <c r="I5" s="12" t="n">
        <v>0</v>
      </c>
      <c r="J5" s="12" t="n">
        <v>0</v>
      </c>
      <c r="K5" s="8" t="n">
        <f aca="false">SQRT(C5^2+D5^2+E5^2)/Summary!$B$4</f>
        <v>0.907259674617747</v>
      </c>
      <c r="L5" s="8" t="n">
        <f aca="false">SQRT(F5^2+G5^2+H5^2)/Summary!$B$4</f>
        <v>1.06300252362559</v>
      </c>
    </row>
    <row r="6" customFormat="false" ht="15" hidden="false" customHeight="false" outlineLevel="0" collapsed="false">
      <c r="A6" s="10" t="n">
        <v>2</v>
      </c>
      <c r="B6" s="11" t="n">
        <f aca="false">(A6-1)*Summary!$B$5</f>
        <v>0.05</v>
      </c>
      <c r="C6" s="12" t="n">
        <v>-78</v>
      </c>
      <c r="D6" s="12" t="n">
        <v>202</v>
      </c>
      <c r="E6" s="12" t="n">
        <v>-83</v>
      </c>
      <c r="F6" s="12" t="n">
        <v>-225</v>
      </c>
      <c r="G6" s="12" t="n">
        <v>36</v>
      </c>
      <c r="H6" s="12" t="n">
        <v>-147</v>
      </c>
      <c r="I6" s="12" t="n">
        <v>0</v>
      </c>
      <c r="J6" s="12" t="n">
        <v>0</v>
      </c>
      <c r="K6" s="8" t="n">
        <f aca="false">SQRT(C6^2+D6^2+E6^2)/Summary!$B$4</f>
        <v>0.905854237399187</v>
      </c>
      <c r="L6" s="8" t="n">
        <f aca="false">SQRT(F6^2+G6^2+H6^2)/Summary!$B$4</f>
        <v>1.05923498798219</v>
      </c>
    </row>
    <row r="7" customFormat="false" ht="15" hidden="false" customHeight="false" outlineLevel="0" collapsed="false">
      <c r="A7" s="10" t="n">
        <v>3</v>
      </c>
      <c r="B7" s="11" t="n">
        <f aca="false">(A7-1)*Summary!$B$5</f>
        <v>0.1</v>
      </c>
      <c r="C7" s="12" t="n">
        <v>-78</v>
      </c>
      <c r="D7" s="12" t="n">
        <v>203</v>
      </c>
      <c r="E7" s="12" t="n">
        <v>-84</v>
      </c>
      <c r="F7" s="12" t="n">
        <v>-225</v>
      </c>
      <c r="G7" s="12" t="n">
        <v>36</v>
      </c>
      <c r="H7" s="12" t="n">
        <v>-147</v>
      </c>
      <c r="I7" s="12" t="n">
        <v>0</v>
      </c>
      <c r="J7" s="12" t="n">
        <v>0</v>
      </c>
      <c r="K7" s="8" t="n">
        <f aca="false">SQRT(C7^2+D7^2+E7^2)/Summary!$B$4</f>
        <v>0.910659061755722</v>
      </c>
      <c r="L7" s="8" t="n">
        <f aca="false">SQRT(F7^2+G7^2+H7^2)/Summary!$B$4</f>
        <v>1.05923498798219</v>
      </c>
    </row>
    <row r="8" customFormat="false" ht="15" hidden="false" customHeight="false" outlineLevel="0" collapsed="false">
      <c r="A8" s="10" t="n">
        <v>4</v>
      </c>
      <c r="B8" s="11" t="n">
        <f aca="false">(A8-1)*Summary!$B$5</f>
        <v>0.15</v>
      </c>
      <c r="C8" s="12" t="n">
        <v>-78</v>
      </c>
      <c r="D8" s="12" t="n">
        <v>203</v>
      </c>
      <c r="E8" s="12" t="n">
        <v>-83</v>
      </c>
      <c r="F8" s="12" t="n">
        <v>-224</v>
      </c>
      <c r="G8" s="12" t="n">
        <v>36</v>
      </c>
      <c r="H8" s="12" t="n">
        <v>-148</v>
      </c>
      <c r="I8" s="12" t="n">
        <v>0</v>
      </c>
      <c r="J8" s="12" t="n">
        <v>0</v>
      </c>
      <c r="K8" s="8" t="n">
        <f aca="false">SQRT(C8^2+D8^2+E8^2)/Summary!$B$4</f>
        <v>0.909258878969227</v>
      </c>
      <c r="L8" s="8" t="n">
        <f aca="false">SQRT(F8^2+G8^2+H8^2)/Summary!$B$4</f>
        <v>1.05812518458356</v>
      </c>
    </row>
    <row r="9" customFormat="false" ht="15" hidden="false" customHeight="false" outlineLevel="0" collapsed="false">
      <c r="A9" s="10" t="n">
        <v>5</v>
      </c>
      <c r="B9" s="11" t="n">
        <f aca="false">(A9-1)*Summary!$B$5</f>
        <v>0.2</v>
      </c>
      <c r="C9" s="12" t="n">
        <v>-78</v>
      </c>
      <c r="D9" s="12" t="n">
        <v>203</v>
      </c>
      <c r="E9" s="12" t="n">
        <v>-84</v>
      </c>
      <c r="F9" s="12" t="n">
        <v>-225</v>
      </c>
      <c r="G9" s="12" t="n">
        <v>37</v>
      </c>
      <c r="H9" s="12" t="n">
        <v>-147</v>
      </c>
      <c r="I9" s="12" t="n">
        <v>0</v>
      </c>
      <c r="J9" s="12" t="n">
        <v>0</v>
      </c>
      <c r="K9" s="8" t="n">
        <f aca="false">SQRT(C9^2+D9^2+E9^2)/Summary!$B$4</f>
        <v>0.910659061755722</v>
      </c>
      <c r="L9" s="8" t="n">
        <f aca="false">SQRT(F9^2+G9^2+H9^2)/Summary!$B$4</f>
        <v>1.05976065758604</v>
      </c>
    </row>
    <row r="10" customFormat="false" ht="15" hidden="false" customHeight="false" outlineLevel="0" collapsed="false">
      <c r="A10" s="10" t="n">
        <v>6</v>
      </c>
      <c r="B10" s="11" t="n">
        <f aca="false">(A10-1)*Summary!$B$5</f>
        <v>0.25</v>
      </c>
      <c r="C10" s="12" t="n">
        <v>-77</v>
      </c>
      <c r="D10" s="12" t="n">
        <v>202</v>
      </c>
      <c r="E10" s="12" t="n">
        <v>-83</v>
      </c>
      <c r="F10" s="12" t="n">
        <v>-224</v>
      </c>
      <c r="G10" s="12" t="n">
        <v>36</v>
      </c>
      <c r="H10" s="12" t="n">
        <v>-149</v>
      </c>
      <c r="I10" s="12" t="n">
        <v>0</v>
      </c>
      <c r="J10" s="12" t="n">
        <v>0</v>
      </c>
      <c r="K10" s="8" t="n">
        <f aca="false">SQRT(C10^2+D10^2+E10^2)/Summary!$B$4</f>
        <v>0.904547835722012</v>
      </c>
      <c r="L10" s="8" t="n">
        <f aca="false">SQRT(F10^2+G10^2+H10^2)/Summary!$B$4</f>
        <v>1.06026447955289</v>
      </c>
    </row>
    <row r="11" customFormat="false" ht="15" hidden="false" customHeight="false" outlineLevel="0" collapsed="false">
      <c r="A11" s="10" t="n">
        <v>7</v>
      </c>
      <c r="B11" s="11" t="n">
        <f aca="false">(A11-1)*Summary!$B$5</f>
        <v>0.3</v>
      </c>
      <c r="C11" s="12" t="n">
        <v>-78</v>
      </c>
      <c r="D11" s="12" t="n">
        <v>203</v>
      </c>
      <c r="E11" s="12" t="n">
        <v>-82</v>
      </c>
      <c r="F11" s="12" t="n">
        <v>-224</v>
      </c>
      <c r="G11" s="12" t="n">
        <v>35</v>
      </c>
      <c r="H11" s="12" t="n">
        <v>-149</v>
      </c>
      <c r="I11" s="12" t="n">
        <v>1</v>
      </c>
      <c r="J11" s="12" t="n">
        <v>0</v>
      </c>
      <c r="K11" s="8" t="n">
        <f aca="false">SQRT(C11^2+D11^2+E11^2)/Summary!$B$4</f>
        <v>0.907873344023858</v>
      </c>
      <c r="L11" s="8" t="n">
        <f aca="false">SQRT(F11^2+G11^2+H11^2)/Summary!$B$4</f>
        <v>1.05975345839404</v>
      </c>
    </row>
    <row r="12" customFormat="false" ht="15" hidden="false" customHeight="false" outlineLevel="0" collapsed="false">
      <c r="A12" s="10" t="n">
        <v>8</v>
      </c>
      <c r="B12" s="11" t="n">
        <f aca="false">(A12-1)*Summary!$B$5</f>
        <v>0.35</v>
      </c>
      <c r="C12" s="12" t="n">
        <v>-78</v>
      </c>
      <c r="D12" s="12" t="n">
        <v>203</v>
      </c>
      <c r="E12" s="12" t="n">
        <v>-86</v>
      </c>
      <c r="F12" s="12" t="n">
        <v>-225</v>
      </c>
      <c r="G12" s="12" t="n">
        <v>36</v>
      </c>
      <c r="H12" s="12" t="n">
        <v>-148</v>
      </c>
      <c r="I12" s="12" t="n">
        <v>0</v>
      </c>
      <c r="J12" s="12" t="n">
        <v>0</v>
      </c>
      <c r="K12" s="8" t="n">
        <f aca="false">SQRT(C12^2+D12^2+E12^2)/Summary!$B$4</f>
        <v>0.913503100727667</v>
      </c>
      <c r="L12" s="8" t="n">
        <f aca="false">SQRT(F12^2+G12^2+H12^2)/Summary!$B$4</f>
        <v>1.06135766946824</v>
      </c>
    </row>
    <row r="13" customFormat="false" ht="15" hidden="false" customHeight="false" outlineLevel="0" collapsed="false">
      <c r="A13" s="10" t="n">
        <v>9</v>
      </c>
      <c r="B13" s="11" t="n">
        <f aca="false">(A13-1)*Summary!$B$5</f>
        <v>0.4</v>
      </c>
      <c r="C13" s="12" t="n">
        <v>-78</v>
      </c>
      <c r="D13" s="12" t="n">
        <v>203</v>
      </c>
      <c r="E13" s="12" t="n">
        <v>-83</v>
      </c>
      <c r="F13" s="12" t="n">
        <v>-226</v>
      </c>
      <c r="G13" s="12" t="n">
        <v>36</v>
      </c>
      <c r="H13" s="12" t="n">
        <v>-147</v>
      </c>
      <c r="I13" s="12" t="n">
        <v>0</v>
      </c>
      <c r="J13" s="12" t="n">
        <v>0</v>
      </c>
      <c r="K13" s="8" t="n">
        <f aca="false">SQRT(C13^2+D13^2+E13^2)/Summary!$B$4</f>
        <v>0.909258878969227</v>
      </c>
      <c r="L13" s="8" t="n">
        <f aca="false">SQRT(F13^2+G13^2+H13^2)/Summary!$B$4</f>
        <v>1.06247845796177</v>
      </c>
    </row>
    <row r="14" customFormat="false" ht="15" hidden="false" customHeight="false" outlineLevel="0" collapsed="false">
      <c r="A14" s="10" t="n">
        <v>10</v>
      </c>
      <c r="B14" s="11" t="n">
        <f aca="false">(A14-1)*Summary!$B$5</f>
        <v>0.45</v>
      </c>
      <c r="C14" s="12" t="n">
        <v>-78</v>
      </c>
      <c r="D14" s="12" t="n">
        <v>203</v>
      </c>
      <c r="E14" s="12" t="n">
        <v>-82</v>
      </c>
      <c r="F14" s="12" t="n">
        <v>-226</v>
      </c>
      <c r="G14" s="12" t="n">
        <v>36</v>
      </c>
      <c r="H14" s="12" t="n">
        <v>-147</v>
      </c>
      <c r="I14" s="12" t="n">
        <v>0</v>
      </c>
      <c r="J14" s="12" t="n">
        <v>0</v>
      </c>
      <c r="K14" s="8" t="n">
        <f aca="false">SQRT(C14^2+D14^2+E14^2)/Summary!$B$4</f>
        <v>0.907873344023858</v>
      </c>
      <c r="L14" s="8" t="n">
        <f aca="false">SQRT(F14^2+G14^2+H14^2)/Summary!$B$4</f>
        <v>1.06247845796177</v>
      </c>
    </row>
    <row r="15" customFormat="false" ht="15" hidden="false" customHeight="false" outlineLevel="0" collapsed="false">
      <c r="A15" s="10" t="n">
        <v>11</v>
      </c>
      <c r="B15" s="11" t="n">
        <f aca="false">(A15-1)*Summary!$B$5</f>
        <v>0.5</v>
      </c>
      <c r="C15" s="12" t="n">
        <v>-78</v>
      </c>
      <c r="D15" s="12" t="n">
        <v>202</v>
      </c>
      <c r="E15" s="12" t="n">
        <v>-83</v>
      </c>
      <c r="F15" s="12" t="n">
        <v>-226</v>
      </c>
      <c r="G15" s="12" t="n">
        <v>36</v>
      </c>
      <c r="H15" s="12" t="n">
        <v>-147</v>
      </c>
      <c r="I15" s="12" t="n">
        <v>0</v>
      </c>
      <c r="J15" s="12" t="n">
        <v>0</v>
      </c>
      <c r="K15" s="8" t="n">
        <f aca="false">SQRT(C15^2+D15^2+E15^2)/Summary!$B$4</f>
        <v>0.905854237399187</v>
      </c>
      <c r="L15" s="8" t="n">
        <f aca="false">SQRT(F15^2+G15^2+H15^2)/Summary!$B$4</f>
        <v>1.06247845796177</v>
      </c>
    </row>
    <row r="16" customFormat="false" ht="15" hidden="false" customHeight="false" outlineLevel="0" collapsed="false">
      <c r="A16" s="10" t="n">
        <v>12</v>
      </c>
      <c r="B16" s="11" t="n">
        <f aca="false">(A16-1)*Summary!$B$5</f>
        <v>0.55</v>
      </c>
      <c r="C16" s="12" t="n">
        <v>-78</v>
      </c>
      <c r="D16" s="12" t="n">
        <v>202</v>
      </c>
      <c r="E16" s="12" t="n">
        <v>-84</v>
      </c>
      <c r="F16" s="12" t="n">
        <v>-224</v>
      </c>
      <c r="G16" s="12" t="n">
        <v>37</v>
      </c>
      <c r="H16" s="12" t="n">
        <v>-148</v>
      </c>
      <c r="I16" s="12" t="n">
        <v>0</v>
      </c>
      <c r="J16" s="12" t="n">
        <v>0</v>
      </c>
      <c r="K16" s="8" t="n">
        <f aca="false">SQRT(C16^2+D16^2+E16^2)/Summary!$B$4</f>
        <v>0.907259674617747</v>
      </c>
      <c r="L16" s="8" t="n">
        <f aca="false">SQRT(F16^2+G16^2+H16^2)/Summary!$B$4</f>
        <v>1.0586514052565</v>
      </c>
    </row>
    <row r="17" customFormat="false" ht="15" hidden="false" customHeight="false" outlineLevel="0" collapsed="false">
      <c r="A17" s="10" t="n">
        <v>13</v>
      </c>
      <c r="B17" s="11" t="n">
        <f aca="false">(A17-1)*Summary!$B$5</f>
        <v>0.6</v>
      </c>
      <c r="C17" s="12" t="n">
        <v>-78</v>
      </c>
      <c r="D17" s="12" t="n">
        <v>204</v>
      </c>
      <c r="E17" s="12" t="n">
        <v>-84</v>
      </c>
      <c r="F17" s="12" t="n">
        <v>-226</v>
      </c>
      <c r="G17" s="12" t="n">
        <v>37</v>
      </c>
      <c r="H17" s="12" t="n">
        <v>-148</v>
      </c>
      <c r="I17" s="12" t="n">
        <v>0</v>
      </c>
      <c r="J17" s="12" t="n">
        <v>0</v>
      </c>
      <c r="K17" s="8" t="n">
        <f aca="false">SQRT(C17^2+D17^2+E17^2)/Summary!$B$4</f>
        <v>0.9140625</v>
      </c>
      <c r="L17" s="8" t="n">
        <f aca="false">SQRT(F17^2+G17^2+H17^2)/Summary!$B$4</f>
        <v>1.06511769678652</v>
      </c>
    </row>
    <row r="18" customFormat="false" ht="15" hidden="false" customHeight="false" outlineLevel="0" collapsed="false">
      <c r="A18" s="10" t="n">
        <v>14</v>
      </c>
      <c r="B18" s="11" t="n">
        <f aca="false">(A18-1)*Summary!$B$5</f>
        <v>0.65</v>
      </c>
      <c r="C18" s="12" t="n">
        <v>-79</v>
      </c>
      <c r="D18" s="12" t="n">
        <v>204</v>
      </c>
      <c r="E18" s="12" t="n">
        <v>-83</v>
      </c>
      <c r="F18" s="12" t="n">
        <v>-224</v>
      </c>
      <c r="G18" s="12" t="n">
        <v>36</v>
      </c>
      <c r="H18" s="12" t="n">
        <v>-148</v>
      </c>
      <c r="I18" s="12" t="n">
        <v>0</v>
      </c>
      <c r="J18" s="12" t="n">
        <v>0</v>
      </c>
      <c r="K18" s="8" t="n">
        <f aca="false">SQRT(C18^2+D18^2+E18^2)/Summary!$B$4</f>
        <v>0.913979029308455</v>
      </c>
      <c r="L18" s="8" t="n">
        <f aca="false">SQRT(F18^2+G18^2+H18^2)/Summary!$B$4</f>
        <v>1.05812518458356</v>
      </c>
    </row>
    <row r="19" customFormat="false" ht="15" hidden="false" customHeight="false" outlineLevel="0" collapsed="false">
      <c r="A19" s="10" t="n">
        <v>15</v>
      </c>
      <c r="B19" s="11" t="n">
        <f aca="false">(A19-1)*Summary!$B$5</f>
        <v>0.7</v>
      </c>
      <c r="C19" s="12" t="n">
        <v>-78</v>
      </c>
      <c r="D19" s="12" t="n">
        <v>204</v>
      </c>
      <c r="E19" s="12" t="n">
        <v>-84</v>
      </c>
      <c r="F19" s="12" t="n">
        <v>-225</v>
      </c>
      <c r="G19" s="12" t="n">
        <v>37</v>
      </c>
      <c r="H19" s="12" t="n">
        <v>-149</v>
      </c>
      <c r="I19" s="12" t="n">
        <v>0</v>
      </c>
      <c r="J19" s="12" t="n">
        <v>0</v>
      </c>
      <c r="K19" s="8" t="n">
        <f aca="false">SQRT(C19^2+D19^2+E19^2)/Summary!$B$4</f>
        <v>0.9140625</v>
      </c>
      <c r="L19" s="8" t="n">
        <f aca="false">SQRT(F19^2+G19^2+H19^2)/Summary!$B$4</f>
        <v>1.06401402927414</v>
      </c>
    </row>
    <row r="20" customFormat="false" ht="15" hidden="false" customHeight="false" outlineLevel="0" collapsed="false">
      <c r="A20" s="10" t="n">
        <v>16</v>
      </c>
      <c r="B20" s="11" t="n">
        <f aca="false">(A20-1)*Summary!$B$5</f>
        <v>0.75</v>
      </c>
      <c r="C20" s="12" t="n">
        <v>-79</v>
      </c>
      <c r="D20" s="12" t="n">
        <v>203</v>
      </c>
      <c r="E20" s="12" t="n">
        <v>-85</v>
      </c>
      <c r="F20" s="12" t="n">
        <v>-225</v>
      </c>
      <c r="G20" s="12" t="n">
        <v>37</v>
      </c>
      <c r="H20" s="12" t="n">
        <v>-148</v>
      </c>
      <c r="I20" s="12" t="n">
        <v>0</v>
      </c>
      <c r="J20" s="12" t="n">
        <v>0</v>
      </c>
      <c r="K20" s="8" t="n">
        <f aca="false">SQRT(C20^2+D20^2+E20^2)/Summary!$B$4</f>
        <v>0.9133861680539</v>
      </c>
      <c r="L20" s="8" t="n">
        <f aca="false">SQRT(F20^2+G20^2+H20^2)/Summary!$B$4</f>
        <v>1.06188228826957</v>
      </c>
    </row>
    <row r="21" customFormat="false" ht="15" hidden="false" customHeight="false" outlineLevel="0" collapsed="false">
      <c r="A21" s="10" t="n">
        <v>17</v>
      </c>
      <c r="B21" s="11" t="n">
        <f aca="false">(A21-1)*Summary!$B$5</f>
        <v>0.8</v>
      </c>
      <c r="C21" s="12" t="n">
        <v>-78</v>
      </c>
      <c r="D21" s="12" t="n">
        <v>203</v>
      </c>
      <c r="E21" s="12" t="n">
        <v>-83</v>
      </c>
      <c r="F21" s="12" t="n">
        <v>-225</v>
      </c>
      <c r="G21" s="12" t="n">
        <v>36</v>
      </c>
      <c r="H21" s="12" t="n">
        <v>-147</v>
      </c>
      <c r="I21" s="12" t="n">
        <v>0</v>
      </c>
      <c r="J21" s="12" t="n">
        <v>0</v>
      </c>
      <c r="K21" s="8" t="n">
        <f aca="false">SQRT(C21^2+D21^2+E21^2)/Summary!$B$4</f>
        <v>0.909258878969227</v>
      </c>
      <c r="L21" s="8" t="n">
        <f aca="false">SQRT(F21^2+G21^2+H21^2)/Summary!$B$4</f>
        <v>1.05923498798219</v>
      </c>
    </row>
    <row r="22" customFormat="false" ht="15" hidden="false" customHeight="false" outlineLevel="0" collapsed="false">
      <c r="A22" s="10" t="n">
        <v>18</v>
      </c>
      <c r="B22" s="11" t="n">
        <f aca="false">(A22-1)*Summary!$B$5</f>
        <v>0.85</v>
      </c>
      <c r="C22" s="12" t="n">
        <v>-77</v>
      </c>
      <c r="D22" s="12" t="n">
        <v>203</v>
      </c>
      <c r="E22" s="12" t="n">
        <v>-84</v>
      </c>
      <c r="F22" s="12" t="n">
        <v>-225</v>
      </c>
      <c r="G22" s="12" t="n">
        <v>36</v>
      </c>
      <c r="H22" s="12" t="n">
        <v>-148</v>
      </c>
      <c r="I22" s="12" t="n">
        <v>0</v>
      </c>
      <c r="J22" s="12" t="n">
        <v>0</v>
      </c>
      <c r="K22" s="8" t="n">
        <f aca="false">SQRT(C22^2+D22^2+E22^2)/Summary!$B$4</f>
        <v>0.909359562798525</v>
      </c>
      <c r="L22" s="8" t="n">
        <f aca="false">SQRT(F22^2+G22^2+H22^2)/Summary!$B$4</f>
        <v>1.06135766946824</v>
      </c>
    </row>
    <row r="23" customFormat="false" ht="15" hidden="false" customHeight="false" outlineLevel="0" collapsed="false">
      <c r="A23" s="10" t="n">
        <v>19</v>
      </c>
      <c r="B23" s="11" t="n">
        <f aca="false">(A23-1)*Summary!$B$5</f>
        <v>0.9</v>
      </c>
      <c r="C23" s="12" t="n">
        <v>-78</v>
      </c>
      <c r="D23" s="12" t="n">
        <v>203</v>
      </c>
      <c r="E23" s="12" t="n">
        <v>-82</v>
      </c>
      <c r="F23" s="12" t="n">
        <v>-225</v>
      </c>
      <c r="G23" s="12" t="n">
        <v>36</v>
      </c>
      <c r="H23" s="12" t="n">
        <v>-149</v>
      </c>
      <c r="I23" s="12" t="n">
        <v>0</v>
      </c>
      <c r="J23" s="12" t="n">
        <v>0</v>
      </c>
      <c r="K23" s="8" t="n">
        <f aca="false">SQRT(C23^2+D23^2+E23^2)/Summary!$B$4</f>
        <v>0.907873344023858</v>
      </c>
      <c r="L23" s="8" t="n">
        <f aca="false">SQRT(F23^2+G23^2+H23^2)/Summary!$B$4</f>
        <v>1.06349046205908</v>
      </c>
    </row>
    <row r="24" customFormat="false" ht="15" hidden="false" customHeight="false" outlineLevel="0" collapsed="false">
      <c r="A24" s="10" t="n">
        <v>20</v>
      </c>
      <c r="B24" s="11" t="n">
        <f aca="false">(A24-1)*Summary!$B$5</f>
        <v>0.95</v>
      </c>
      <c r="C24" s="12" t="n">
        <v>-78</v>
      </c>
      <c r="D24" s="12" t="n">
        <v>202</v>
      </c>
      <c r="E24" s="12" t="n">
        <v>-83</v>
      </c>
      <c r="F24" s="12" t="n">
        <v>-226</v>
      </c>
      <c r="G24" s="12" t="n">
        <v>37</v>
      </c>
      <c r="H24" s="12" t="n">
        <v>-149</v>
      </c>
      <c r="I24" s="12" t="n">
        <v>0</v>
      </c>
      <c r="J24" s="12" t="n">
        <v>0</v>
      </c>
      <c r="K24" s="8" t="n">
        <f aca="false">SQRT(C24^2+D24^2+E24^2)/Summary!$B$4</f>
        <v>0.905854237399187</v>
      </c>
      <c r="L24" s="8" t="n">
        <f aca="false">SQRT(F24^2+G24^2+H24^2)/Summary!$B$4</f>
        <v>1.06724297531508</v>
      </c>
    </row>
    <row r="25" customFormat="false" ht="15" hidden="false" customHeight="false" outlineLevel="0" collapsed="false">
      <c r="A25" s="10" t="n">
        <v>21</v>
      </c>
      <c r="B25" s="11" t="n">
        <f aca="false">(A25-1)*Summary!$B$5</f>
        <v>1</v>
      </c>
      <c r="C25" s="12" t="n">
        <v>-78</v>
      </c>
      <c r="D25" s="12" t="n">
        <v>203</v>
      </c>
      <c r="E25" s="12" t="n">
        <v>-84</v>
      </c>
      <c r="F25" s="12" t="n">
        <v>-225</v>
      </c>
      <c r="G25" s="12" t="n">
        <v>35</v>
      </c>
      <c r="H25" s="12" t="n">
        <v>-147</v>
      </c>
      <c r="I25" s="12" t="n">
        <v>0</v>
      </c>
      <c r="J25" s="12" t="n">
        <v>0</v>
      </c>
      <c r="K25" s="8" t="n">
        <f aca="false">SQRT(C25^2+D25^2+E25^2)/Summary!$B$4</f>
        <v>0.910659061755722</v>
      </c>
      <c r="L25" s="8" t="n">
        <f aca="false">SQRT(F25^2+G25^2+H25^2)/Summary!$B$4</f>
        <v>1.05872346991185</v>
      </c>
    </row>
    <row r="26" customFormat="false" ht="15" hidden="false" customHeight="false" outlineLevel="0" collapsed="false">
      <c r="A26" s="10" t="n">
        <v>22</v>
      </c>
      <c r="B26" s="11" t="n">
        <f aca="false">(A26-1)*Summary!$B$5</f>
        <v>1.05</v>
      </c>
      <c r="C26" s="12" t="n">
        <v>-78</v>
      </c>
      <c r="D26" s="12" t="n">
        <v>202</v>
      </c>
      <c r="E26" s="12" t="n">
        <v>-84</v>
      </c>
      <c r="F26" s="12" t="n">
        <v>-225</v>
      </c>
      <c r="G26" s="12" t="n">
        <v>37</v>
      </c>
      <c r="H26" s="12" t="n">
        <v>-149</v>
      </c>
      <c r="I26" s="12" t="n">
        <v>1</v>
      </c>
      <c r="J26" s="12" t="n">
        <v>0</v>
      </c>
      <c r="K26" s="8" t="n">
        <f aca="false">SQRT(C26^2+D26^2+E26^2)/Summary!$B$4</f>
        <v>0.907259674617747</v>
      </c>
      <c r="L26" s="8" t="n">
        <f aca="false">SQRT(F26^2+G26^2+H26^2)/Summary!$B$4</f>
        <v>1.06401402927414</v>
      </c>
    </row>
    <row r="27" customFormat="false" ht="15" hidden="false" customHeight="false" outlineLevel="0" collapsed="false">
      <c r="A27" s="10" t="n">
        <v>23</v>
      </c>
      <c r="B27" s="11" t="n">
        <f aca="false">(A27-1)*Summary!$B$5</f>
        <v>1.1</v>
      </c>
      <c r="C27" s="12" t="n">
        <v>-78</v>
      </c>
      <c r="D27" s="12" t="n">
        <v>203</v>
      </c>
      <c r="E27" s="12" t="n">
        <v>-85</v>
      </c>
      <c r="F27" s="12" t="n">
        <v>-224</v>
      </c>
      <c r="G27" s="12" t="n">
        <v>35</v>
      </c>
      <c r="H27" s="12" t="n">
        <v>-149</v>
      </c>
      <c r="I27" s="12" t="n">
        <v>0</v>
      </c>
      <c r="J27" s="12" t="n">
        <v>0</v>
      </c>
      <c r="K27" s="8" t="n">
        <f aca="false">SQRT(C27^2+D27^2+E27^2)/Summary!$B$4</f>
        <v>0.912073824922838</v>
      </c>
      <c r="L27" s="8" t="n">
        <f aca="false">SQRT(F27^2+G27^2+H27^2)/Summary!$B$4</f>
        <v>1.05975345839404</v>
      </c>
    </row>
    <row r="28" customFormat="false" ht="15" hidden="false" customHeight="false" outlineLevel="0" collapsed="false">
      <c r="A28" s="10" t="n">
        <v>24</v>
      </c>
      <c r="B28" s="11" t="n">
        <f aca="false">(A28-1)*Summary!$B$5</f>
        <v>1.15</v>
      </c>
      <c r="C28" s="12" t="n">
        <v>-77</v>
      </c>
      <c r="D28" s="12" t="n">
        <v>203</v>
      </c>
      <c r="E28" s="12" t="n">
        <v>-82</v>
      </c>
      <c r="F28" s="12" t="n">
        <v>-225</v>
      </c>
      <c r="G28" s="12" t="n">
        <v>37</v>
      </c>
      <c r="H28" s="12" t="n">
        <v>-147</v>
      </c>
      <c r="I28" s="12" t="n">
        <v>0</v>
      </c>
      <c r="J28" s="12" t="n">
        <v>0</v>
      </c>
      <c r="K28" s="8" t="n">
        <f aca="false">SQRT(C28^2+D28^2+E28^2)/Summary!$B$4</f>
        <v>0.906569851960882</v>
      </c>
      <c r="L28" s="8" t="n">
        <f aca="false">SQRT(F28^2+G28^2+H28^2)/Summary!$B$4</f>
        <v>1.05976065758604</v>
      </c>
    </row>
    <row r="29" customFormat="false" ht="15" hidden="false" customHeight="false" outlineLevel="0" collapsed="false">
      <c r="A29" s="10" t="n">
        <v>25</v>
      </c>
      <c r="B29" s="11" t="n">
        <f aca="false">(A29-1)*Summary!$B$5</f>
        <v>1.2</v>
      </c>
      <c r="C29" s="12" t="n">
        <v>-78</v>
      </c>
      <c r="D29" s="12" t="n">
        <v>203</v>
      </c>
      <c r="E29" s="12" t="n">
        <v>-83</v>
      </c>
      <c r="F29" s="12" t="n">
        <v>-225</v>
      </c>
      <c r="G29" s="12" t="n">
        <v>36</v>
      </c>
      <c r="H29" s="12" t="n">
        <v>-148</v>
      </c>
      <c r="I29" s="12" t="n">
        <v>0</v>
      </c>
      <c r="J29" s="12" t="n">
        <v>0</v>
      </c>
      <c r="K29" s="8" t="n">
        <f aca="false">SQRT(C29^2+D29^2+E29^2)/Summary!$B$4</f>
        <v>0.909258878969227</v>
      </c>
      <c r="L29" s="8" t="n">
        <f aca="false">SQRT(F29^2+G29^2+H29^2)/Summary!$B$4</f>
        <v>1.06135766946824</v>
      </c>
    </row>
    <row r="30" customFormat="false" ht="15" hidden="false" customHeight="false" outlineLevel="0" collapsed="false">
      <c r="A30" s="10" t="n">
        <v>26</v>
      </c>
      <c r="B30" s="11" t="n">
        <f aca="false">(A30-1)*Summary!$B$5</f>
        <v>1.25</v>
      </c>
      <c r="C30" s="12" t="n">
        <v>-78</v>
      </c>
      <c r="D30" s="12" t="n">
        <v>203</v>
      </c>
      <c r="E30" s="12" t="n">
        <v>-83</v>
      </c>
      <c r="F30" s="12" t="n">
        <v>-226</v>
      </c>
      <c r="G30" s="12" t="n">
        <v>37</v>
      </c>
      <c r="H30" s="12" t="n">
        <v>-147</v>
      </c>
      <c r="I30" s="12" t="n">
        <v>0</v>
      </c>
      <c r="J30" s="12" t="n">
        <v>0</v>
      </c>
      <c r="K30" s="8" t="n">
        <f aca="false">SQRT(C30^2+D30^2+E30^2)/Summary!$B$4</f>
        <v>0.909258878969227</v>
      </c>
      <c r="L30" s="8" t="n">
        <f aca="false">SQRT(F30^2+G30^2+H30^2)/Summary!$B$4</f>
        <v>1.06300252362559</v>
      </c>
    </row>
    <row r="31" customFormat="false" ht="15" hidden="false" customHeight="false" outlineLevel="0" collapsed="false">
      <c r="A31" s="10" t="n">
        <v>27</v>
      </c>
      <c r="B31" s="11" t="n">
        <f aca="false">(A31-1)*Summary!$B$5</f>
        <v>1.3</v>
      </c>
      <c r="C31" s="12" t="n">
        <v>-78</v>
      </c>
      <c r="D31" s="12" t="n">
        <v>202</v>
      </c>
      <c r="E31" s="12" t="n">
        <v>-86</v>
      </c>
      <c r="F31" s="12" t="n">
        <v>-224</v>
      </c>
      <c r="G31" s="12" t="n">
        <v>36</v>
      </c>
      <c r="H31" s="12" t="n">
        <v>-148</v>
      </c>
      <c r="I31" s="12" t="n">
        <v>0</v>
      </c>
      <c r="J31" s="12" t="n">
        <v>0</v>
      </c>
      <c r="K31" s="8" t="n">
        <f aca="false">SQRT(C31^2+D31^2+E31^2)/Summary!$B$4</f>
        <v>0.910114336481274</v>
      </c>
      <c r="L31" s="8" t="n">
        <f aca="false">SQRT(F31^2+G31^2+H31^2)/Summary!$B$4</f>
        <v>1.05812518458356</v>
      </c>
    </row>
    <row r="32" customFormat="false" ht="15" hidden="false" customHeight="false" outlineLevel="0" collapsed="false">
      <c r="A32" s="10" t="n">
        <v>28</v>
      </c>
      <c r="B32" s="11" t="n">
        <f aca="false">(A32-1)*Summary!$B$5</f>
        <v>1.35</v>
      </c>
      <c r="C32" s="12" t="n">
        <v>-79</v>
      </c>
      <c r="D32" s="12" t="n">
        <v>203</v>
      </c>
      <c r="E32" s="12" t="n">
        <v>-84</v>
      </c>
      <c r="F32" s="12" t="n">
        <v>-225</v>
      </c>
      <c r="G32" s="12" t="n">
        <v>36</v>
      </c>
      <c r="H32" s="12" t="n">
        <v>-148</v>
      </c>
      <c r="I32" s="12" t="n">
        <v>0</v>
      </c>
      <c r="J32" s="12" t="n">
        <v>0</v>
      </c>
      <c r="K32" s="8" t="n">
        <f aca="false">SQRT(C32^2+D32^2+E32^2)/Summary!$B$4</f>
        <v>0.911973440753965</v>
      </c>
      <c r="L32" s="8" t="n">
        <f aca="false">SQRT(F32^2+G32^2+H32^2)/Summary!$B$4</f>
        <v>1.06135766946824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2026-10-28T08:50:19Z</dcterms:created>
  <dc:creator>openpyxl</dc:creator>
  <dc:description/>
  <dc:language>en-US</dc:language>
  <cp:lastModifiedBy/>
  <dcterms:modified xsi:type="dcterms:W3CDTF">2026-10-28T08:50:22Z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